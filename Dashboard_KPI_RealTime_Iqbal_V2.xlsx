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binusianorg-my.sharepoint.com/personal/iqbal_izzudin_binus_edu/Documents/Documents/Binus Journal/Editorial_App/"/>
    </mc:Choice>
  </mc:AlternateContent>
  <xr:revisionPtr revIDLastSave="336" documentId="13_ncr:1_{AE1EB0A3-89BA-B34E-AA5E-5EF580374E95}" xr6:coauthVersionLast="47" xr6:coauthVersionMax="47" xr10:uidLastSave="{FA57AA57-E3F4-4538-83BC-FBE28A205AB3}"/>
  <bookViews>
    <workbookView xWindow="-120" yWindow="-120" windowWidth="29040" windowHeight="15720" firstSheet="2" activeTab="2" xr2:uid="{00000000-000D-0000-FFFF-FFFF00000000}"/>
  </bookViews>
  <sheets>
    <sheet name="Dashboard" sheetId="1" r:id="rId1"/>
    <sheet name="KPI_1_PI Unit Center" sheetId="2" r:id="rId2"/>
    <sheet name="KPI_2_Pendataan APC" sheetId="3" r:id="rId3"/>
    <sheet name="KPI_3_Enhancing OJS" sheetId="4" r:id="rId4"/>
    <sheet name="KPI_4_Graphic Abstrac" sheetId="5" r:id="rId5"/>
    <sheet name="KPI_5_Writing Competi" sheetId="6" r:id="rId6"/>
    <sheet name="KPI_6_Student Comment" sheetId="7" r:id="rId7"/>
    <sheet name="KPI_7_ICOBAR" sheetId="8" r:id="rId8"/>
    <sheet name="KPI_8_Editing article" sheetId="9" r:id="rId9"/>
    <sheet name="KPI_9_Review Format" sheetId="10" r:id="rId10"/>
    <sheet name="KPI_10_Waktu review" sheetId="11" r:id="rId11"/>
    <sheet name="KPI_11_Tugas Khusu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9" l="1"/>
  <c r="N14" i="9"/>
  <c r="N15" i="9"/>
  <c r="N16" i="9"/>
  <c r="N17" i="9"/>
  <c r="N18" i="9"/>
  <c r="N19" i="9"/>
  <c r="N20" i="9"/>
  <c r="N22" i="9"/>
  <c r="N23" i="9"/>
  <c r="N24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M13" i="9"/>
  <c r="M14" i="9"/>
  <c r="M15" i="9"/>
  <c r="M16" i="9"/>
  <c r="M17" i="9"/>
  <c r="M18" i="9"/>
  <c r="M19" i="9"/>
  <c r="M20" i="9"/>
  <c r="M21" i="9"/>
  <c r="N21" i="9" s="1"/>
  <c r="M22" i="9"/>
  <c r="M23" i="9"/>
  <c r="M24" i="9"/>
  <c r="M25" i="9"/>
  <c r="N25" i="9" s="1"/>
  <c r="M26" i="9"/>
  <c r="N26" i="9" s="1"/>
  <c r="M27" i="9"/>
  <c r="N27" i="9" s="1"/>
  <c r="M28" i="9"/>
  <c r="N28" i="9" s="1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N12" i="9"/>
  <c r="M12" i="9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N29" i="10" s="1"/>
  <c r="M30" i="10"/>
  <c r="M31" i="10"/>
  <c r="M32" i="10"/>
  <c r="M33" i="10"/>
  <c r="M34" i="10"/>
  <c r="M35" i="10"/>
  <c r="M36" i="10"/>
  <c r="M37" i="10"/>
  <c r="M38" i="10"/>
  <c r="N38" i="10" s="1"/>
  <c r="M39" i="10"/>
  <c r="M40" i="10"/>
  <c r="N40" i="10" s="1"/>
  <c r="M41" i="10"/>
  <c r="N41" i="10" s="1"/>
  <c r="M42" i="10"/>
  <c r="N42" i="10" s="1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30" i="10"/>
  <c r="N31" i="10"/>
  <c r="N32" i="10"/>
  <c r="N33" i="10"/>
  <c r="N34" i="10"/>
  <c r="N35" i="10"/>
  <c r="N36" i="10"/>
  <c r="N37" i="10"/>
  <c r="N39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5" i="10"/>
  <c r="N56" i="10"/>
  <c r="N57" i="10"/>
  <c r="N58" i="10"/>
  <c r="N59" i="10"/>
  <c r="N60" i="10"/>
  <c r="N61" i="10"/>
  <c r="N62" i="10"/>
  <c r="N63" i="10"/>
  <c r="N64" i="10"/>
  <c r="N65" i="10"/>
  <c r="N66" i="10"/>
  <c r="N67" i="10"/>
  <c r="N68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101" i="10"/>
  <c r="N102" i="10"/>
  <c r="N103" i="10"/>
  <c r="N104" i="10"/>
  <c r="N105" i="10"/>
  <c r="N106" i="10"/>
  <c r="N107" i="10"/>
  <c r="N108" i="10"/>
  <c r="N109" i="10"/>
  <c r="N110" i="10"/>
  <c r="N111" i="10"/>
  <c r="N112" i="10"/>
  <c r="N113" i="10"/>
  <c r="N114" i="10"/>
  <c r="N115" i="10"/>
  <c r="N116" i="10"/>
  <c r="N117" i="10"/>
  <c r="N118" i="10"/>
  <c r="N119" i="10"/>
  <c r="N120" i="10"/>
  <c r="N121" i="10"/>
  <c r="N122" i="10"/>
  <c r="N123" i="10"/>
  <c r="N124" i="10"/>
  <c r="N125" i="10"/>
  <c r="N126" i="10"/>
  <c r="N127" i="10"/>
  <c r="N128" i="10"/>
  <c r="N129" i="10"/>
  <c r="N130" i="10"/>
  <c r="N131" i="10"/>
  <c r="N132" i="10"/>
  <c r="N133" i="10"/>
  <c r="N134" i="10"/>
  <c r="N12" i="10"/>
  <c r="M12" i="10"/>
  <c r="F48" i="11"/>
  <c r="B4" i="12"/>
  <c r="F211" i="11"/>
  <c r="F210" i="11"/>
  <c r="F209" i="11"/>
  <c r="F208" i="11"/>
  <c r="F207" i="11"/>
  <c r="F206" i="11"/>
  <c r="F205" i="11"/>
  <c r="F204" i="11"/>
  <c r="F203" i="11"/>
  <c r="F202" i="11"/>
  <c r="F201" i="11"/>
  <c r="F200" i="11"/>
  <c r="F199" i="11"/>
  <c r="F198" i="11"/>
  <c r="F197" i="11"/>
  <c r="F196" i="11"/>
  <c r="F195" i="11"/>
  <c r="F194" i="11"/>
  <c r="F193" i="11"/>
  <c r="F192" i="11"/>
  <c r="F191" i="11"/>
  <c r="F190" i="11"/>
  <c r="F189" i="11"/>
  <c r="F188" i="11"/>
  <c r="F187" i="11"/>
  <c r="F186" i="11"/>
  <c r="F185" i="11"/>
  <c r="F184" i="11"/>
  <c r="F183" i="11"/>
  <c r="F182" i="11"/>
  <c r="F181" i="11"/>
  <c r="F180" i="11"/>
  <c r="F179" i="11"/>
  <c r="F178" i="11"/>
  <c r="F177" i="11"/>
  <c r="F176" i="11"/>
  <c r="F175" i="11"/>
  <c r="F174" i="11"/>
  <c r="F173" i="11"/>
  <c r="F172" i="11"/>
  <c r="F171" i="11"/>
  <c r="F170" i="11"/>
  <c r="F169" i="11"/>
  <c r="F168" i="11"/>
  <c r="F167" i="11"/>
  <c r="F166" i="11"/>
  <c r="F165" i="11"/>
  <c r="F164" i="11"/>
  <c r="F163" i="11"/>
  <c r="F162" i="11"/>
  <c r="F161" i="11"/>
  <c r="F160" i="11"/>
  <c r="F159" i="11"/>
  <c r="F158" i="11"/>
  <c r="F157" i="11"/>
  <c r="F156" i="11"/>
  <c r="F155" i="11"/>
  <c r="F154" i="11"/>
  <c r="F153" i="11"/>
  <c r="F152" i="11"/>
  <c r="F151" i="11"/>
  <c r="F150" i="11"/>
  <c r="F149" i="11"/>
  <c r="F148" i="11"/>
  <c r="F147" i="11"/>
  <c r="F146" i="11"/>
  <c r="F145" i="11"/>
  <c r="F144" i="11"/>
  <c r="F143" i="11"/>
  <c r="F142" i="11"/>
  <c r="F141" i="11"/>
  <c r="F140" i="11"/>
  <c r="F139" i="11"/>
  <c r="F138" i="11"/>
  <c r="F137" i="11"/>
  <c r="F136" i="11"/>
  <c r="F135" i="11"/>
  <c r="F134" i="11"/>
  <c r="F133" i="11"/>
  <c r="F132" i="11"/>
  <c r="F131" i="11"/>
  <c r="F130" i="11"/>
  <c r="F129" i="11"/>
  <c r="F128" i="11"/>
  <c r="F127" i="11"/>
  <c r="F126" i="11"/>
  <c r="F125" i="11"/>
  <c r="F124" i="11"/>
  <c r="F123" i="11"/>
  <c r="F122" i="11"/>
  <c r="F121" i="11"/>
  <c r="F120" i="11"/>
  <c r="F119" i="11"/>
  <c r="F118" i="11"/>
  <c r="F117" i="11"/>
  <c r="F116" i="11"/>
  <c r="F115" i="11"/>
  <c r="F114" i="11"/>
  <c r="F113" i="11"/>
  <c r="F112" i="11"/>
  <c r="F111" i="11"/>
  <c r="F110" i="11"/>
  <c r="F109" i="11"/>
  <c r="F108" i="11"/>
  <c r="F107" i="11"/>
  <c r="F106" i="11"/>
  <c r="F105" i="11"/>
  <c r="F104" i="11"/>
  <c r="F103" i="11"/>
  <c r="F102" i="11"/>
  <c r="F101" i="11"/>
  <c r="F100" i="11"/>
  <c r="F99" i="11"/>
  <c r="F98" i="11"/>
  <c r="F97" i="11"/>
  <c r="F96" i="11"/>
  <c r="F95" i="11"/>
  <c r="F94" i="11"/>
  <c r="F93" i="11"/>
  <c r="F92" i="11"/>
  <c r="F91" i="11"/>
  <c r="F90" i="11"/>
  <c r="F89" i="11"/>
  <c r="F88" i="11"/>
  <c r="F87" i="11"/>
  <c r="F86" i="11"/>
  <c r="F85" i="11"/>
  <c r="F84" i="11"/>
  <c r="F83" i="11"/>
  <c r="F82" i="11"/>
  <c r="F81" i="11"/>
  <c r="F80" i="11"/>
  <c r="F79" i="11"/>
  <c r="F78" i="11"/>
  <c r="F77" i="11"/>
  <c r="F76" i="11"/>
  <c r="F75" i="11"/>
  <c r="F74" i="11"/>
  <c r="F73" i="11"/>
  <c r="F72" i="11"/>
  <c r="F71" i="11"/>
  <c r="F70" i="11"/>
  <c r="F69" i="11"/>
  <c r="F68" i="11"/>
  <c r="F67" i="11"/>
  <c r="F66" i="11"/>
  <c r="F65" i="11"/>
  <c r="F64" i="11"/>
  <c r="F63" i="11"/>
  <c r="F62" i="11"/>
  <c r="F61" i="11"/>
  <c r="F60" i="11"/>
  <c r="F59" i="11"/>
  <c r="F58" i="11"/>
  <c r="F57" i="11"/>
  <c r="F56" i="11"/>
  <c r="F55" i="11"/>
  <c r="F54" i="11"/>
  <c r="F53" i="11"/>
  <c r="F52" i="11"/>
  <c r="F51" i="11"/>
  <c r="F50" i="11"/>
  <c r="F49" i="11"/>
  <c r="F47" i="11"/>
  <c r="F46" i="11"/>
  <c r="F45" i="11"/>
  <c r="F44" i="11"/>
  <c r="F43" i="11"/>
  <c r="F42" i="11"/>
  <c r="F41" i="11"/>
  <c r="F40" i="11"/>
  <c r="F39" i="11"/>
  <c r="F38" i="11"/>
  <c r="F37" i="11"/>
  <c r="F36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F12" i="11"/>
  <c r="B4" i="6"/>
  <c r="B4" i="5"/>
  <c r="B4" i="3"/>
  <c r="B5" i="3" s="1"/>
  <c r="G17" i="1" s="1"/>
  <c r="H17" i="1" s="1"/>
  <c r="H26" i="1"/>
  <c r="G26" i="1"/>
  <c r="F26" i="1"/>
  <c r="G22" i="1"/>
  <c r="H22" i="1" s="1"/>
  <c r="F22" i="1"/>
  <c r="H21" i="1"/>
  <c r="G21" i="1"/>
  <c r="F21" i="1"/>
  <c r="G20" i="1"/>
  <c r="H20" i="1" s="1"/>
  <c r="F20" i="1"/>
  <c r="G19" i="1"/>
  <c r="H19" i="1" s="1"/>
  <c r="F19" i="1"/>
  <c r="H18" i="1"/>
  <c r="G18" i="1"/>
  <c r="F18" i="1"/>
  <c r="H16" i="1"/>
  <c r="G16" i="1"/>
  <c r="F16" i="1"/>
  <c r="E11" i="1"/>
  <c r="D11" i="1"/>
  <c r="C11" i="1"/>
  <c r="E10" i="1"/>
  <c r="D10" i="1"/>
  <c r="C10" i="1"/>
  <c r="E9" i="1"/>
  <c r="D9" i="1"/>
  <c r="C9" i="1"/>
  <c r="E8" i="1"/>
  <c r="D8" i="1"/>
  <c r="C8" i="1"/>
  <c r="E7" i="1"/>
  <c r="D7" i="1"/>
  <c r="C7" i="1"/>
  <c r="E6" i="1"/>
  <c r="D6" i="1"/>
  <c r="C6" i="1"/>
  <c r="B4" i="9" l="1"/>
  <c r="B5" i="9" s="1"/>
  <c r="G23" i="1" s="1"/>
  <c r="H23" i="1" s="1"/>
  <c r="B4" i="10"/>
  <c r="B5" i="10" s="1"/>
  <c r="G24" i="1" s="1"/>
  <c r="H24" i="1" s="1"/>
  <c r="B4" i="11"/>
  <c r="F25" i="1" s="1"/>
  <c r="F17" i="1"/>
  <c r="F23" i="1" l="1"/>
  <c r="F24" i="1"/>
  <c r="B5" i="11"/>
  <c r="G25" i="1" s="1"/>
  <c r="H25" i="1" s="1"/>
  <c r="H27" i="1" s="1"/>
</calcChain>
</file>

<file path=xl/sharedStrings.xml><?xml version="1.0" encoding="utf-8"?>
<sst xmlns="http://schemas.openxmlformats.org/spreadsheetml/2006/main" count="716" uniqueCount="387">
  <si>
    <t>REAL-TIME KPI PERFORMANCE DASHBOARD (2026)</t>
  </si>
  <si>
    <t>Name: Iqbal Fathi Izzudin | Division: Science Communication - BINUS Journal Staff</t>
  </si>
  <si>
    <t>AKTIVITAS BULANAN (Tugas Selesai)</t>
  </si>
  <si>
    <t>Bulan</t>
  </si>
  <si>
    <t>Desk Review (Total)</t>
  </si>
  <si>
    <t>Copy Edit (Total)</t>
  </si>
  <si>
    <t>Reviewing (Total)</t>
  </si>
  <si>
    <t>July</t>
  </si>
  <si>
    <t>August</t>
  </si>
  <si>
    <t>September</t>
  </si>
  <si>
    <t>October</t>
  </si>
  <si>
    <t>November</t>
  </si>
  <si>
    <t>December</t>
  </si>
  <si>
    <t>PENCAPAIAN KPI REAL-TIME</t>
  </si>
  <si>
    <t>No</t>
  </si>
  <si>
    <t>KPI Name</t>
  </si>
  <si>
    <t>Bobot (%)</t>
  </si>
  <si>
    <t>Target Capaian</t>
  </si>
  <si>
    <t>Capaian Saat Ini</t>
  </si>
  <si>
    <t>Skor (1-6)</t>
  </si>
  <si>
    <t>Nilai Akhir (Skor/4 * Bobot)</t>
  </si>
  <si>
    <t>PI Unit Center</t>
  </si>
  <si>
    <t xml:space="preserve"> - </t>
  </si>
  <si>
    <t>Pendataan Article Processing Charge (APC)</t>
  </si>
  <si>
    <t xml:space="preserve">100% penulis membayar APC  </t>
  </si>
  <si>
    <t>Enhancing  OJS Website 7 Jurnal RTT</t>
  </si>
  <si>
    <t>50,00 - 74,99</t>
  </si>
  <si>
    <t>Penerapan Graphic Abstract pada artikel Binus Journal</t>
  </si>
  <si>
    <t>50,00 - 59,99</t>
  </si>
  <si>
    <t>Implementation of Scholarly Article Writing Competition</t>
  </si>
  <si>
    <t xml:space="preserve">≥ 30 participants  </t>
  </si>
  <si>
    <t>Student Commentary on Journal Binus</t>
  </si>
  <si>
    <t>50,00 - 59,00</t>
  </si>
  <si>
    <t>Support Binus Joint International Conference (ICOBAR)</t>
  </si>
  <si>
    <t xml:space="preserve">95.00 -  100.00% paper    </t>
  </si>
  <si>
    <t>Editing article</t>
  </si>
  <si>
    <t>4,00 - 4,00</t>
  </si>
  <si>
    <t>Review Format Article</t>
  </si>
  <si>
    <t>2,00 - 2,99</t>
  </si>
  <si>
    <t>Waktu review artikel</t>
  </si>
  <si>
    <t>6,00 - 7,00</t>
  </si>
  <si>
    <t>Tugas Khusus</t>
  </si>
  <si>
    <t xml:space="preserve">Minimum 3 tugas khusus (sesuai validasi VR RTT) diselesaikan
         </t>
  </si>
  <si>
    <t>TOTAL NILAI:</t>
  </si>
  <si>
    <t>KPI 1: PI Unit Center</t>
  </si>
  <si>
    <t xml:space="preserve">Bobot: 15.0% | Target:  - </t>
  </si>
  <si>
    <t>Capaian Saat Ini (Otomatis):</t>
  </si>
  <si>
    <t>&lt;-- Ketik manual persentase/capaian di sini</t>
  </si>
  <si>
    <t>Skor Saat Ini (1-6) (Otomatis):</t>
  </si>
  <si>
    <t>&lt;-- Ketik manual skor pencapaian (1-6) di sini</t>
  </si>
  <si>
    <t>Score 1</t>
  </si>
  <si>
    <t>Score 2</t>
  </si>
  <si>
    <t>Score 3</t>
  </si>
  <si>
    <t>Score 4</t>
  </si>
  <si>
    <t>Score 5</t>
  </si>
  <si>
    <t>Score 6</t>
  </si>
  <si>
    <t>0.00 - 3.49</t>
  </si>
  <si>
    <t>5.41 - 6.00</t>
  </si>
  <si>
    <t>KPI 2: Pendataan Article Processing Charge (APC)</t>
  </si>
  <si>
    <t xml:space="preserve">Bobot: 5.0% | Target: 100% penulis membayar APC  </t>
  </si>
  <si>
    <t xml:space="preserve">Ada penulis yang tidak bayar  </t>
  </si>
  <si>
    <t>nan</t>
  </si>
  <si>
    <t xml:space="preserve">Skor 4 + ada rekap  </t>
  </si>
  <si>
    <t>⬇️ INPUT DATA REALISASI DI SINI ⬇️</t>
  </si>
  <si>
    <t>Submisi</t>
  </si>
  <si>
    <t>Jurnal</t>
  </si>
  <si>
    <t>Status APC</t>
  </si>
  <si>
    <t>Tanggal dikirim</t>
  </si>
  <si>
    <t>Bukti APC</t>
  </si>
  <si>
    <t>Month</t>
  </si>
  <si>
    <t>CT</t>
  </si>
  <si>
    <t>Diterima</t>
  </si>
  <si>
    <t>https://binusianorg.sharepoint.com/sites/BinusJurnal/Binus%20Jurnal/Binus%20Jurnal%20Publishing/26/COMTECH/APC/18.1/CT_1446.jpeg?csf=1&amp;web=1&amp;e=7b8Wik</t>
  </si>
  <si>
    <t>LC</t>
  </si>
  <si>
    <t>https://binusianorg.sharepoint.com/sites/BinusJurnal/Binus%20Jurnal/Binus%20Jurnal%20Publishing/26/LINGUA%20CULTURA/APC/21.1/LC_14866_APC.JPG?d=w9ace82bbb3da4763835e1c84ce49ad88&amp;csf=1&amp;web=1&amp;e=JYLInr</t>
  </si>
  <si>
    <t>KPI 3: Enhancing  OJS Website 7 Jurnal RTT</t>
  </si>
  <si>
    <t>Bobot: 7.5% | Target: 50,00 - 74,99</t>
  </si>
  <si>
    <t xml:space="preserve">0,00 - 9,99 </t>
  </si>
  <si>
    <t xml:space="preserve">10,00 - 24,99 </t>
  </si>
  <si>
    <t xml:space="preserve">25,00 - 49,99 </t>
  </si>
  <si>
    <t xml:space="preserve">50,00 - 74,99 </t>
  </si>
  <si>
    <t xml:space="preserve">75,00 - 99,99 </t>
  </si>
  <si>
    <t xml:space="preserve">100,00 - 100,00 </t>
  </si>
  <si>
    <t>KPI 4: Penerapan Graphic Abstract pada artikel Binus Journal</t>
  </si>
  <si>
    <t>Bobot: 5.0% | Target: 50,00 - 59,99</t>
  </si>
  <si>
    <t>&lt;-- Angka ini otomatis menghitung jumlah baris data</t>
  </si>
  <si>
    <t xml:space="preserve">0,00 - 29,99 </t>
  </si>
  <si>
    <t xml:space="preserve">30,00 - 39,99 </t>
  </si>
  <si>
    <t xml:space="preserve">40,00 - 49,99 </t>
  </si>
  <si>
    <t xml:space="preserve">50,00 - 59,99 </t>
  </si>
  <si>
    <t xml:space="preserve">60,00 - 69,99 </t>
  </si>
  <si>
    <t xml:space="preserve">70,00 - 100,00 </t>
  </si>
  <si>
    <t>Nomor submisi</t>
  </si>
  <si>
    <t>Nama jurnal</t>
  </si>
  <si>
    <t>volume</t>
  </si>
  <si>
    <t>issue</t>
  </si>
  <si>
    <t>judul</t>
  </si>
  <si>
    <t>penulis</t>
  </si>
  <si>
    <t>Gambar abstract</t>
  </si>
  <si>
    <t>Link</t>
  </si>
  <si>
    <t>KPI 5: Implementation of Scholarly Article Writing Competition</t>
  </si>
  <si>
    <t xml:space="preserve">Bobot: 10.0% | Target: ≥ 30 participants  </t>
  </si>
  <si>
    <t xml:space="preserve">0.00 - 0.00   </t>
  </si>
  <si>
    <t xml:space="preserve">Competition conducted  </t>
  </si>
  <si>
    <t xml:space="preserve">≥ 20 participants  </t>
  </si>
  <si>
    <t xml:space="preserve">≥ 40 participants  </t>
  </si>
  <si>
    <t xml:space="preserve">≥50 participants and winning artices submit to Binus Journal  </t>
  </si>
  <si>
    <t>Nomor Submisi</t>
  </si>
  <si>
    <t>Nama Jurnal</t>
  </si>
  <si>
    <t>Judul</t>
  </si>
  <si>
    <t>Nama Penulis</t>
  </si>
  <si>
    <t>Evident</t>
  </si>
  <si>
    <t>KPI 6: Student Commentary on Journal Binus</t>
  </si>
  <si>
    <t>Bobot: 7.5% | Target: 50,00 - 59,00</t>
  </si>
  <si>
    <t xml:space="preserve">0,00 - 20,00 </t>
  </si>
  <si>
    <t xml:space="preserve">21,00 - 35,00 </t>
  </si>
  <si>
    <t xml:space="preserve">36,00 - 49,00 </t>
  </si>
  <si>
    <t xml:space="preserve">50,00 - 59,00 </t>
  </si>
  <si>
    <t xml:space="preserve">60,00 - 69,00 </t>
  </si>
  <si>
    <t>KPI 7: Support Binus Joint International Conference (ICOBAR)</t>
  </si>
  <si>
    <t xml:space="preserve">Bobot: 10.0% | Target: 95.00 -  100.00% paper    </t>
  </si>
  <si>
    <t xml:space="preserve">0.00 - 84.99% paper       
    </t>
  </si>
  <si>
    <t xml:space="preserve">85.00 - 89.99% paper           </t>
  </si>
  <si>
    <t xml:space="preserve">90.00 - 94.99% paper           </t>
  </si>
  <si>
    <t xml:space="preserve">Skor 4 + rata-rata selesai H-2 deadline          </t>
  </si>
  <si>
    <t xml:space="preserve">Skor 4 + rata-rata selesai H-1 deadline           </t>
  </si>
  <si>
    <t>KPI 8: Editing article</t>
  </si>
  <si>
    <t>Bobot: 15.0% | Target: 4,00 - 4,00</t>
  </si>
  <si>
    <t xml:space="preserve">11,00 - 100,00 </t>
  </si>
  <si>
    <t xml:space="preserve">5,00 - 10,00 </t>
  </si>
  <si>
    <t xml:space="preserve"> -  </t>
  </si>
  <si>
    <t xml:space="preserve">4,00 - 4,00 </t>
  </si>
  <si>
    <t xml:space="preserve">3,00 - 3,00 </t>
  </si>
  <si>
    <t xml:space="preserve">0,00 - 2,00 </t>
  </si>
  <si>
    <t>NOMOR</t>
  </si>
  <si>
    <t>AFILIASI</t>
  </si>
  <si>
    <t>JUDUL</t>
  </si>
  <si>
    <t>JURNAL</t>
  </si>
  <si>
    <t>EDISI</t>
  </si>
  <si>
    <t>MULAI EDIT</t>
  </si>
  <si>
    <t>SELESAI EDIT</t>
  </si>
  <si>
    <t>JAM 1</t>
  </si>
  <si>
    <t>JAM 2</t>
  </si>
  <si>
    <t>JAM 3</t>
  </si>
  <si>
    <t>JAM …</t>
  </si>
  <si>
    <t>TOTAL</t>
  </si>
  <si>
    <t>HARI</t>
  </si>
  <si>
    <t>Unsoed</t>
  </si>
  <si>
    <t>Rosdiana Puspita Sari</t>
  </si>
  <si>
    <t>POLITICAL PRAGMEMES ON BILLBOARDS IN INDONESIA’S 2024 ELECTION</t>
  </si>
  <si>
    <t>Universitas Tanjungpura</t>
  </si>
  <si>
    <t>Aulia Rachma Pratiwi; Merry Andriani</t>
  </si>
  <si>
    <t>Basilectal Variations And Their Function Among Indonesian K-Pop Fans On X</t>
  </si>
  <si>
    <t>UGM</t>
  </si>
  <si>
    <t>Hidayah Nuril Phasa; Merry Andriani</t>
  </si>
  <si>
    <t>INTERNAL LANGUAGE SHIFT IN JAVANESE SPEECH LEVELS: DIGITAL INFLUENCE AMONG GENERATION ALPHA IN BOJONEGORO</t>
  </si>
  <si>
    <t>UNIS</t>
  </si>
  <si>
    <t>Irmala Sukendra; Riska Khumairoh</t>
  </si>
  <si>
    <t>Conversational Implicature in the Discourse of Digital Hate Towards BTS on X</t>
  </si>
  <si>
    <t>UNEJ; UNUSIA; ASIA Univeristy (Taiwan)</t>
  </si>
  <si>
    <t>Ni Luh Ayu Sukmawati; Fina Zahra; Sheila Wijayanti; Yinghuei Chen</t>
  </si>
  <si>
    <t>Hegemony in Horror: Examining the Constructs of Fear in Siksa Kubur (2024)</t>
  </si>
  <si>
    <t>HM</t>
  </si>
  <si>
    <t>Universitas Bhinneka PGRI Tulungagung; UIN Sayyid Ali Rahmatullah</t>
  </si>
  <si>
    <t>Hikmah Eva Trisnantari; Prim Masrokan Mutohar;  Zahrotunnisa Siswahyuningsih</t>
  </si>
  <si>
    <t>The Reconstruction of Urban Community Nationalism Based on Local Wisdom of Tirakatan</t>
  </si>
  <si>
    <t>ISI Surakarta</t>
  </si>
  <si>
    <t>Fajar Aji; Ranang Agung Sugihartono</t>
  </si>
  <si>
    <t>Camera Movement Style in Indonesian OTT Originals:  Two-Case Using Nielsen’s Five Functions</t>
  </si>
  <si>
    <t xml:space="preserve">
Sri Wahyuni Muhtar; Aris Setiawan; Budi Setiyono</t>
  </si>
  <si>
    <t>Cultural Appropriation as Local Identity: 
The Case of Dangdut Makassar</t>
  </si>
  <si>
    <t>Columbia University</t>
  </si>
  <si>
    <t>Putri Maharani</t>
  </si>
  <si>
    <t>Unseen Drivers of Climate Change and Early Marriage Narratives in Coastal Jakarta</t>
  </si>
  <si>
    <t>SBM-ITB</t>
  </si>
  <si>
    <t>Panji Mukadis; Mustika Purwanegara; Atik Aprianingsih</t>
  </si>
  <si>
    <t>Perceptions of Indonesian Movies among Gen-Z: A Sentiment Analysis Approach</t>
  </si>
  <si>
    <t>Calvin Institute of Technology</t>
  </si>
  <si>
    <t>Erwin Anggadjaja; Matthew Amadeus</t>
  </si>
  <si>
    <t>Campus Surveillance System with HTTP Communication Using Animaloid Robots</t>
  </si>
  <si>
    <t>UNTAN</t>
  </si>
  <si>
    <t>Zuleha Zuleha; Nur'ainul Huda; Nurfitri Imro'ah; Gita Fitriyana</t>
  </si>
  <si>
    <t>GSTAR (1,1) MODELING WITH QUEEN CONTIGUITY MATRIX FOR FIRE RADIATIVE POWER ANALYSIS</t>
  </si>
  <si>
    <t>KPI 9: Review Format Article</t>
  </si>
  <si>
    <t>Bobot: 10.0% | Target: 2,00 - 2,99</t>
  </si>
  <si>
    <t xml:space="preserve">5,00 - 100,00 </t>
  </si>
  <si>
    <t xml:space="preserve">4,00 - 4,99 </t>
  </si>
  <si>
    <t xml:space="preserve">3,00 - 3,99 </t>
  </si>
  <si>
    <t xml:space="preserve">2,00 - 2,99 </t>
  </si>
  <si>
    <t xml:space="preserve">1,00 - 1,99 </t>
  </si>
  <si>
    <t xml:space="preserve">0,00 - 0,99 </t>
  </si>
  <si>
    <t>Universitas Muhammadiyah Sidoarjo</t>
  </si>
  <si>
    <t>Evy Sulistianingsih</t>
  </si>
  <si>
    <t>Optimization of SRI-KEHATI Indexed Stock Portfolios with Extreme Gradient Boosting and Mean-Variance Efficient Portfolio</t>
  </si>
  <si>
    <t>UIII</t>
  </si>
  <si>
    <t>Fath Yusava Arden; Settings Mukhammad Andri Setiawan</t>
  </si>
  <si>
    <t>Hybrid Framework for Token-Efficient LLM-Based Running Analysis</t>
  </si>
  <si>
    <t>BINUS</t>
  </si>
  <si>
    <t>Abhiseka Wisnu Wiyarta; Christian Harito</t>
  </si>
  <si>
    <t>Safety Culture’s Mediating Role Between 5S Implementation and Employee Performance in Petrochemical</t>
  </si>
  <si>
    <t>IPB</t>
  </si>
  <si>
    <t>Sabrina; Mochamad Tito Julianto; Mohamad Khoirun Najib</t>
  </si>
  <si>
    <t>PROBABILISTIC TOPIC MODELING AND SENTIMENT CLASSIFICATION OF WARDAH GLASTING LIQUID LIP REVIEWS</t>
  </si>
  <si>
    <t xml:space="preserve">Universitas Satya Negara Indonesia; Universitas Budi Luhur ; Universitas Indraprasta PGRI; Universitas Budi Luhur; Washington State University (US) </t>
  </si>
  <si>
    <t>Sukarno Bahat Nauli; Billy Marentek; Rudi Prasetya; Yan Everhard Riwurohi; Martinus Damitutsa Kurnia Dewa</t>
  </si>
  <si>
    <t>AI Ethics Framework Model for Information Technology System Development</t>
  </si>
  <si>
    <t>Fransisca Tiur Basaria; Kenny Jeremia Zondag Ginting</t>
  </si>
  <si>
    <t>An Integrated Data-Driven Framework For B2b Customer Segmentation and Campaign Optimization Using Clustering, Forecasting, And Simulation</t>
  </si>
  <si>
    <t>Asysta Amalia Pasaribu;I Gusti Agung Anom Yudistira; Hanis Amalia Saputri</t>
  </si>
  <si>
    <t>Improving Volatility Forecasting Commodity and Financial Markets Using GARCH and SVR Models</t>
  </si>
  <si>
    <t>Adriana Sinta Anarita; Dr. Sri Rachmayanti S.Sn., M.Ds</t>
  </si>
  <si>
    <t>Sensory Coexistence: Multisensory Cues and Cultural Experience in Contemporary Hospitality Design</t>
  </si>
  <si>
    <t>Humaniora</t>
  </si>
  <si>
    <t>Asysta Amalia Pasaribu; Neni Nur Laili Ersela Zain</t>
  </si>
  <si>
    <t>Forecasting Value-at-Risk of GARCH-Copula Models of Bitcoin and Litecoin Cryptocurrency</t>
  </si>
  <si>
    <t>Institut Pertanian Bogor</t>
  </si>
  <si>
    <t>Ferika Bestati Panjaitan</t>
  </si>
  <si>
    <t>CONTENT ANALYSIS OF COMMUNITY DIALOGUES: CASE STUDY MUSRENBANG DESA IN BOGOR REGENCY</t>
  </si>
  <si>
    <t>Asysta Amalia Pasaribu;Settings Neni Nur Laili Ersela Zain</t>
  </si>
  <si>
    <t>Mercubuana Yogya; UBM; BINUS</t>
  </si>
  <si>
    <t>Settings Putry Wahyu Setyaningsih; Settings Ozmar Azhari; Septian Eka Ady Buananta</t>
  </si>
  <si>
    <t>EXPLORING USER-CENTRIC GOVERNANCE THROUGH USER EXPERIENCE EVALUATION OF PUBLIC SERVICE WEBSITES</t>
  </si>
  <si>
    <t>Institut Teknologi dan Bisnis Indonesia; Universiti Malaysia Pahang (Malay)</t>
  </si>
  <si>
    <t>Roberto Kaban; David JM Sembiring; Jamaludin Bin Sallim</t>
  </si>
  <si>
    <t>NAIR: A Noise-Aware Ranking Model for Robust Information Retrieval under Noisy Query Conditions</t>
  </si>
  <si>
    <t>Q3</t>
  </si>
  <si>
    <t>Said Basalim</t>
  </si>
  <si>
    <t>Urban Pavement Performance Modeling Using Smartphone-Based IRI and Ordered Logit</t>
  </si>
  <si>
    <t>Saut Horas Ramses Samosir; Tuga Mauritsius</t>
  </si>
  <si>
    <t>HYBRID AHP-TOPSIS MODEL FOR ONLINE RECRUITMENT PLATFORMS SELECTION IN INDONESIAN</t>
  </si>
  <si>
    <t>Fadilah Tsalsabillah Makarawo; Adi Sutrisno</t>
  </si>
  <si>
    <t>Translation Equivalence and Legal Adaptation: A Semantic Analysis of Defined Terminology in the Indonesia–UAE CEPA (2022)</t>
  </si>
  <si>
    <t>UNJ</t>
  </si>
  <si>
    <t>Ayu Trihardini; Hermina Sutami; Munif Yusuf</t>
  </si>
  <si>
    <t xml:space="preserve">Linearity of Chinese Spatial Prepositional Phrases: A Cognitive Linguistics Study 
</t>
  </si>
  <si>
    <t>UIN Sunan Ampel</t>
  </si>
  <si>
    <t>Muzakki Abdurrahman</t>
  </si>
  <si>
    <t>BEYOND HUMAN LITERACY: LANGUAGE, LITERATURE, AND MEANING-MAKING IN GENERATIVE AI</t>
  </si>
  <si>
    <t>UNSOED</t>
  </si>
  <si>
    <t>Syahrul Fadholi Gumelar</t>
  </si>
  <si>
    <t>Comparison of YOLOv8 Detection Model Size for Periapical Periodontitis Detection Based on Dental Radiograph Dataset</t>
  </si>
  <si>
    <t>UNUD</t>
  </si>
  <si>
    <t>Anak Agung Ngurah Wisnu Wardana</t>
  </si>
  <si>
    <t>AI-BASED DIGITAL TECHNOLOGY FOR MENTAL HEALTH SELF-SCREENING IN PRIMARY HEALTH CARE</t>
  </si>
  <si>
    <t>UPN JATIM</t>
  </si>
  <si>
    <t>Rizky; Aprinia; Budy; Heliza; Budi; Saefurrohman; Imam; Faris</t>
  </si>
  <si>
    <t>Multi-Feature Classification of IMDb Movie Reviews with Stacking Ensemble and SHAP Interpretation</t>
  </si>
  <si>
    <t>UNESA</t>
  </si>
  <si>
    <t>Daffa Ahmad Pangreksa; Halilatunnisa; Naura Kanaya Putri Masruri; Ibnu Febry Kurniawan</t>
  </si>
  <si>
    <t>TalentTrack: A Data Warehouse with Zero-Shot Skill Extraction for Labor Market Forecasting</t>
  </si>
  <si>
    <t>UPI</t>
  </si>
  <si>
    <t>Arditya Baskara Mahbubi; Dewi Indriati; Muhammad Rizalul Wahid</t>
  </si>
  <si>
    <t>Edge Deployed Class Incremental Learning for Adaptive Electronic Component Sorting in IIoT Based HMLV Manufacturing IIoT Based HMLV Manufacturing: An Empirical Evaluation</t>
  </si>
  <si>
    <t>KPI 10: Waktu review artikel</t>
  </si>
  <si>
    <t>Bobot: 10.0% | Target: 6,00 - 7,00</t>
  </si>
  <si>
    <t xml:space="preserve">12,00 - 100,00 </t>
  </si>
  <si>
    <t xml:space="preserve">10,00 - 11,00 </t>
  </si>
  <si>
    <t xml:space="preserve">8,00 - 9,00 </t>
  </si>
  <si>
    <t xml:space="preserve">6,00 - 7,00 </t>
  </si>
  <si>
    <t xml:space="preserve">4,00 - 5,00 </t>
  </si>
  <si>
    <t xml:space="preserve">0,00 - 3,00 </t>
  </si>
  <si>
    <t>Afiliasi Penulis</t>
  </si>
  <si>
    <t>Tanggal Mulai Proses Review</t>
  </si>
  <si>
    <t>Tanggal Hasil Review Konten Keluar</t>
  </si>
  <si>
    <t>Minggu</t>
  </si>
  <si>
    <t>Universitas Ciputra; The National University of Singapore</t>
  </si>
  <si>
    <t>PROMOTING SOCIAL COHESION THROUGH INTERCULTURAL COMMUNICATION: AN INTERETHNIC UNCERTAINTY REDUCTION IN A YOUTH CAMP</t>
  </si>
  <si>
    <t>IPB University</t>
  </si>
  <si>
    <t>Universitas Katolik Indonesia Santu Paulus Ruteng</t>
  </si>
  <si>
    <t>ILLOCUTIONARY ACTS IN THE ROKO MOLAS POCO RITUAL IN STRENGTHENING LOCAL CULTURE-BASED PRAGMATICS</t>
  </si>
  <si>
    <t>UNESA; niversiti Pendidikan Sultan Idris (Malaysia)</t>
  </si>
  <si>
    <t>THE PSYCHOLOGICAL IMPACT OF TRANSFORMING FORMER DOLLY RED LIGHT DISTRICT THROUGH CREATIVE BATIK INDUSTRY</t>
  </si>
  <si>
    <t>UNSOED; Tianjin University (China)</t>
  </si>
  <si>
    <t>Representation of Chinese Identity through Symbols and Linguistic Signs in the Chinatowns of Semarang and Yogyakarta</t>
  </si>
  <si>
    <t>Universitas Sarjanawiyata Tamansiswa; BINUS; UNY</t>
  </si>
  <si>
    <t>UPCYCLED MINDI WOOD BAG REDESIGN BASED AFF APPROACH: A POPULAR CULTURE PERSPECTIVE</t>
  </si>
  <si>
    <t>Universitas Ciputra; National University of Singapore (NUS)</t>
  </si>
  <si>
    <t>URBAN IDENTITY OF JAKARTA STREET VENDORS' FURNITURE BASED ON CULTURAL ANALYSIS AND VISUAL REPRESENTATION</t>
  </si>
  <si>
    <t>UNNES</t>
  </si>
  <si>
    <t>ETHNOPEDAGOGY AS COMMUNITY-BASED CRAFTS EDUCATION IN THE STONE CARVING ARTISANS OF MUNTILAN</t>
  </si>
  <si>
    <t>Institut Agama Islam Negeri Kerinci</t>
  </si>
  <si>
    <t>Incung Script in Transition: A Clifford Geertzian Analysis of Functional and Symbolic Change in Kerinci</t>
  </si>
  <si>
    <t>Mulwarman University</t>
  </si>
  <si>
    <t>The Discourse of Authenticity and Identity in the Dayak Sapeq Music Community</t>
  </si>
  <si>
    <t>UII</t>
  </si>
  <si>
    <t>Ruqyah as a Prophetic Mission: Analyzing The Religious Voice of The Horror Film Qodrat</t>
  </si>
  <si>
    <t>UNY</t>
  </si>
  <si>
    <t>CIBEBER DUCK SATAY AS A COMMUNITY IDENTITY AND INTANGIBLE CULTURAL HERITAGE OF CILEGON CITY</t>
  </si>
  <si>
    <t>UNS</t>
  </si>
  <si>
    <t>Tumpeng as a Cosmogram of Material Prayer in Javanese Hermeneutic Epistemology</t>
  </si>
  <si>
    <t>Semiotics of Roland Barthes in The Caos Bekti Tradition of Surakarta Hadiningrat Court: A Case Study of Astanaluhur Paremono</t>
  </si>
  <si>
    <t>Project-Based Dance Education as Cultural Negotiation: Constructing Indonesian Identity in a Diasporic School Context</t>
  </si>
  <si>
    <t>Universitas Ekasakti</t>
  </si>
  <si>
    <t>SLANG IN THE END OF THE F***ING WORLD FILM SERIES: A SOCIOLINGUISTIC ANALYSIS</t>
  </si>
  <si>
    <t>UNHAS</t>
  </si>
  <si>
    <t>Myth and Meaning in the Naming of Marine Ornamental Fish in Coastal South Sulawesi </t>
  </si>
  <si>
    <t>Group Communication and Multimodal Media in the Empowerment of Inclusive Art Studio Communities</t>
  </si>
  <si>
    <t>UNUGIRI</t>
  </si>
  <si>
    <t>Clustering Of Character Strengthening Of Victim Groups Using The K-Means Method In The Context Of Suicide Prevention In East Java And Central Java</t>
  </si>
  <si>
    <t>politeknikbatulicin</t>
  </si>
  <si>
    <t>Utilization of Predictive Models to Optimize TBM Performance in the Construction of the Jakarta MRT</t>
  </si>
  <si>
    <t>State Polytechnic of Malang</t>
  </si>
  <si>
    <t>Simulation Analysis of Load Force Variation Structure in Manufacturing Process of Jig Fixture for Milling Machining Equipment Made of AISI 1020 Material</t>
  </si>
  <si>
    <t>Saint Louis University (PH)</t>
  </si>
  <si>
    <t>WHEN CHATGPT AND HUMANS TELL STORIES: EXPLORING LEXICAL FEATURES AND NARRATIVE TRANSPORTATION IN MICROFICTION </t>
  </si>
  <si>
    <t>Airlangga University</t>
  </si>
  <si>
    <t>The Effect of Resample Method to Predict Academic Success</t>
  </si>
  <si>
    <t>National Taiwan University of Science and Technology</t>
  </si>
  <si>
    <t>Optimized Traffic Object Detection at Intersections with YOLOv4 and YOLOv4 Tiny: Day and Night Analysis</t>
  </si>
  <si>
    <t>Universitas Indonesia</t>
  </si>
  <si>
    <t>Scent, Image, Text: Visual–Verbal Alignment in Luxury Perfume Campaigns on Instagram</t>
  </si>
  <si>
    <t>Trunojoyo</t>
  </si>
  <si>
    <t>THE SUSTAINABILITY PERFORMANCE OF BIODIESEL PRODUCTION USING USED COOKING OIL (UCO): A TECHNOLOGY ASSESSMENT</t>
  </si>
  <si>
    <t>Institut Seni Indonesia Yogyakarta</t>
  </si>
  <si>
    <t>Preventive Conservation of Cassava Paper as an Alternative Writing Media in the Archives Collection of the Sonobudoyo Museum, Yogyakarta, Indonesia</t>
  </si>
  <si>
    <t>Universitas Indraprasta PGRI</t>
  </si>
  <si>
    <t>ECOLOGICAL WORLDVIEWS IN CHILDREN’S STORYBOOKS BY YOUNG AUTHORS</t>
  </si>
  <si>
    <t>KPI 11: Tugas Khusus</t>
  </si>
  <si>
    <t xml:space="preserve">Bobot: 5.0% | Target: Minimum 3 tugas khusus (sesuai validasi VR RTT) diselesaikan
         </t>
  </si>
  <si>
    <t xml:space="preserve">Minimum 1 tugas khusus (sesuai validasi VR RTT) diselesaikan
         </t>
  </si>
  <si>
    <t xml:space="preserve">-
         </t>
  </si>
  <si>
    <t xml:space="preserve">Minimum 2 tugas khusus (sesuai validasi VR RTT) diselesaikan
         </t>
  </si>
  <si>
    <t xml:space="preserve">Minimum 5 tugas khusus (sesuai validasi VR RTT) diselesaikan
         </t>
  </si>
  <si>
    <t xml:space="preserve">Skor 5 DAN ada bentuk storrytelling dengan hashtag #BinusResearchPoint
         </t>
  </si>
  <si>
    <t>Nama tugas</t>
  </si>
  <si>
    <t>tanggal mulai</t>
  </si>
  <si>
    <t>tanggal selesai</t>
  </si>
  <si>
    <t>evident</t>
  </si>
  <si>
    <t>Design Modification Of Banten Batik Motifs For Contemporary Textile Printing</t>
  </si>
  <si>
    <t>UNJ; Xi'an University; Malaysia</t>
  </si>
  <si>
    <t>BATAK TRADITIONAL MUSICAL INSTRUMENTS, CULTURAL IDENTITY, AND YOUTH SPRITUALITY: A SAHALA THEOLOGY PERSPECTIVE</t>
  </si>
  <si>
    <t>Sekolah Tinggi Teologi HKBP Pematangsiantar</t>
  </si>
  <si>
    <t>GENDER-FLUID FASHION AND GENERATION Z'S CONSUMPTION NARRATIVE THROUGH AN EMOTIONAL DESIGN APPROACH</t>
  </si>
  <si>
    <t>Universitas Ciputra Surabaya</t>
  </si>
  <si>
    <t>SEMIOTICS OF ORNAMENTS ON THE PILLARS OF THE SAKA TUNGGAL MOSQUE</t>
  </si>
  <si>
    <t>Universitas Sebelas Maret</t>
  </si>
  <si>
    <t>UNISlA; Institut Teknologi Kalimantan; Universitas Nahdlatul Ulama Sunan Giri; Universitas Mulawarman</t>
  </si>
  <si>
    <t>Diah Ayu Novitasari; Muchammad Chandra Cahyo Utomo; Ika Purnamasari; Denny Nurdiansyah; Miftakhul Khasanah</t>
  </si>
  <si>
    <t>Seasonal Forecasting Stability and Accuracy for East Java Rice Harvest Area Prediction</t>
  </si>
  <si>
    <t>Politeknik Negeri Jember; University of Szeged (Hungary)</t>
  </si>
  <si>
    <t>Khafidurrohman Agustianto; Saiful Bukhori; Mas’ud Hermansyah; Adriadi Novawan</t>
  </si>
  <si>
    <t>Detecting Anxiety Onset in Metacognitive Monitoring Using Temporal Eye-Tracking and Machine Learning</t>
  </si>
  <si>
    <t xml:space="preserve">REVITALIZATION OF THE AJEM SAP-SAP TRADITION THROUGH COMMODIFICATION OF CONTEMPORARY SITUBONDO BATIK </t>
  </si>
  <si>
    <t>Institut Teknologi dan Bisnis Asia Malang</t>
  </si>
  <si>
    <t>https://binusianorg.sharepoint.com/sites/BinusJurnal/_layouts/15/guestaccess.aspx?share=IQAis1N3sr5hRqc4h_MZomMCAfbvEYWzb6jG7eJ56WZVAtA&amp;e=e3SJDJ</t>
  </si>
  <si>
    <t>LC_15568_APC.jpg</t>
  </si>
  <si>
    <t>HM_14935_APC.pdf</t>
  </si>
  <si>
    <t>HM_14518_APC.jpeg</t>
  </si>
  <si>
    <t>HM_14507_APC.jpeg</t>
  </si>
  <si>
    <t>CONSISTENCY AND STABILITY OF MULTI-METHOD EXPLAINABLE AI IN XGBOOST MANUFACTURING DEFECT PREDICTION</t>
  </si>
  <si>
    <t>Fidya Raihana Salsabila; Sugiyarto Surono; Joko Purwadi; Kais Ismail Ibraheem; Aris Thorbirin</t>
  </si>
  <si>
    <t>Ahmad Dahlan University; University of Mosul</t>
  </si>
  <si>
    <t xml:space="preserve">HIERARCHICAL PATTERNS OF LINGUISTIC POLITENESS IN COMMERCIAL TRANSACTIONS AMONG THE TOBA BATAK COMMUNITY </t>
  </si>
  <si>
    <t>elza leyli saragih</t>
  </si>
  <si>
    <t>Universitas HKBP Nommensen</t>
  </si>
  <si>
    <t>Alief Fikrul Hakam El Jauhari; Yulyani Arifin</t>
  </si>
  <si>
    <t>Strengthening Information Security Governance In The Construction Sector Using The Octave Allegro Method And ISO/IEC 27001:2022</t>
  </si>
  <si>
    <t>Sepember</t>
  </si>
  <si>
    <t>Rima Vien Permata Hartanto; Maram Taher; Petriscia Kusuma Wardani</t>
  </si>
  <si>
    <t xml:space="preserve"> Gender Blindness and Legal Recognition: Feminist Critique of Indonesia’s Law 7/2016</t>
  </si>
  <si>
    <t>Universitas Negeri Semarang;  Ismaili Institutions for Canada</t>
  </si>
  <si>
    <t>17.2</t>
  </si>
  <si>
    <t>Harry Dhika; Agus Buono; Shelvie Nidya Neyman</t>
  </si>
  <si>
    <t>PREDICTION OF TRANSPORTATION-INDUCED PHYSIOLOGICAL STRESS IN CATTLE USING AN ARTIFICIAL NEURAL NETWORK</t>
  </si>
  <si>
    <t>HM_15423_APC.jpeg</t>
  </si>
  <si>
    <t>HM_14604_APC.jpeg</t>
  </si>
  <si>
    <t>Universitas Brawijaya</t>
  </si>
  <si>
    <t xml:space="preserve"> FROM INDOCHINA TO INDONESIA:  EXPLORING THE PARADOXICAL BRANDING IN TRANSCULTURAL INTERIOR DESIGN</t>
  </si>
  <si>
    <t>Universitas Islam Negeri Jurai Siwo Lampung</t>
  </si>
  <si>
    <t>Ahmad Madkur; Aria Septi Anggaira</t>
  </si>
  <si>
    <t>WHEN AI ANSWERS FOR THEM: A TRANSLANGUAGING APPROACH TO RECLAIMING EFL LEARNERS’ GRAMMAR COMPETENCE</t>
  </si>
  <si>
    <t>Institut Teknologi Del</t>
  </si>
  <si>
    <t>Rentauli Mariah Silalahi</t>
  </si>
  <si>
    <t>ChatGPT Assistance in Indonesian Argumentative Writing: Effects Across Dimensions and Initial Performance</t>
  </si>
  <si>
    <t>BINUS University</t>
  </si>
  <si>
    <t>Rahmat Daryono; Christian Harito</t>
  </si>
  <si>
    <t xml:space="preserve"> An Integrated BSC–Fuzzy DEMATEL–ANP to Continuous Improvement in Electronic Manufacturing</t>
  </si>
  <si>
    <t>Dona Hapsari</t>
  </si>
  <si>
    <t>Rusnoto Susanto</t>
  </si>
  <si>
    <t>Indarti</t>
  </si>
  <si>
    <t>Lely Surya Wardani</t>
  </si>
  <si>
    <t>Prasetyo Adi Wisnu</t>
  </si>
  <si>
    <t>Wiwik Setyaningsih</t>
  </si>
  <si>
    <t>Fitri Agustina</t>
  </si>
  <si>
    <t>Amelia Yuli Astuti</t>
  </si>
  <si>
    <t>Jessica Leony</t>
  </si>
  <si>
    <t>DIterima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</si>
</sst>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yyyy\-mm\-dd"/>
  </numFmts>
  <fonts count="15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i/>
      <sz val="11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808080"/>
      <name val="Calibri"/>
      <family val="2"/>
    </font>
    <font>
      <b/>
      <sz val="11"/>
      <color rgb="FFC00000"/>
      <name val="Calibri"/>
      <family val="2"/>
    </font>
    <font>
      <b/>
      <sz val="20"/>
      <name val="Calibri"/>
      <family val="2"/>
    </font>
    <font>
      <i/>
      <sz val="12"/>
      <name val="Calibri"/>
      <family val="2"/>
    </font>
    <font>
      <b/>
      <sz val="12"/>
      <name val="Calibri"/>
      <family val="2"/>
    </font>
    <font>
      <b/>
      <sz val="11"/>
      <color rgb="FF16A085"/>
      <name val="Calibri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Noto Sans"/>
      <family val="2"/>
    </font>
    <font>
      <sz val="11"/>
      <color rgb="FF000000"/>
      <name val="Noto Sans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2980B9"/>
      </patternFill>
    </fill>
    <fill>
      <patternFill patternType="solid">
        <fgColor rgb="FFF1C40F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42">
    <xf numFmtId="0" fontId="0" fillId="0" borderId="0" xfId="0"/>
    <xf numFmtId="0" fontId="7" fillId="0" borderId="0" xfId="0" applyFont="1"/>
    <xf numFmtId="0" fontId="8" fillId="0" borderId="0" xfId="0" applyFont="1"/>
    <xf numFmtId="0" fontId="9" fillId="0" borderId="0" xfId="0" applyFont="1"/>
    <xf numFmtId="0" fontId="4" fillId="4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10" fillId="0" borderId="1" xfId="0" applyNumberFormat="1" applyFont="1" applyBorder="1"/>
    <xf numFmtId="0" fontId="3" fillId="0" borderId="1" xfId="0" applyFont="1" applyBorder="1"/>
    <xf numFmtId="2" fontId="3" fillId="5" borderId="1" xfId="0" applyNumberFormat="1" applyFont="1" applyFill="1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/>
    <xf numFmtId="0" fontId="5" fillId="0" borderId="0" xfId="0" applyFont="1"/>
    <xf numFmtId="0" fontId="3" fillId="3" borderId="1" xfId="0" applyFont="1" applyFill="1" applyBorder="1"/>
    <xf numFmtId="0" fontId="0" fillId="0" borderId="1" xfId="0" applyBorder="1" applyAlignment="1">
      <alignment horizontal="center" vertical="center" wrapText="1"/>
    </xf>
    <xf numFmtId="9" fontId="3" fillId="2" borderId="1" xfId="0" applyNumberFormat="1" applyFont="1" applyFill="1" applyBorder="1"/>
    <xf numFmtId="0" fontId="6" fillId="0" borderId="0" xfId="0" applyFont="1"/>
    <xf numFmtId="1" fontId="0" fillId="0" borderId="1" xfId="0" applyNumberFormat="1" applyBorder="1"/>
    <xf numFmtId="164" fontId="0" fillId="0" borderId="1" xfId="0" applyNumberFormat="1" applyBorder="1"/>
    <xf numFmtId="1" fontId="0" fillId="0" borderId="0" xfId="0" applyNumberFormat="1"/>
    <xf numFmtId="2" fontId="3" fillId="2" borderId="1" xfId="0" applyNumberFormat="1" applyFont="1" applyFill="1" applyBorder="1"/>
    <xf numFmtId="2" fontId="0" fillId="0" borderId="1" xfId="0" applyNumberFormat="1" applyBorder="1"/>
    <xf numFmtId="165" fontId="0" fillId="0" borderId="1" xfId="0" applyNumberFormat="1" applyBorder="1"/>
    <xf numFmtId="2" fontId="0" fillId="0" borderId="0" xfId="0" applyNumberFormat="1"/>
    <xf numFmtId="15" fontId="0" fillId="0" borderId="1" xfId="0" applyNumberFormat="1" applyBorder="1"/>
    <xf numFmtId="0" fontId="0" fillId="0" borderId="2" xfId="0" applyBorder="1"/>
    <xf numFmtId="1" fontId="0" fillId="0" borderId="2" xfId="0" applyNumberFormat="1" applyBorder="1"/>
    <xf numFmtId="0" fontId="11" fillId="0" borderId="0" xfId="0" applyFont="1"/>
    <xf numFmtId="15" fontId="0" fillId="0" borderId="0" xfId="0" applyNumberFormat="1"/>
    <xf numFmtId="2" fontId="0" fillId="0" borderId="2" xfId="0" applyNumberFormat="1" applyBorder="1"/>
    <xf numFmtId="0" fontId="12" fillId="0" borderId="0" xfId="1" applyFill="1" applyBorder="1"/>
    <xf numFmtId="0" fontId="12" fillId="0" borderId="0" xfId="1"/>
    <xf numFmtId="0" fontId="0" fillId="6" borderId="1" xfId="0" applyFill="1" applyBorder="1"/>
    <xf numFmtId="0" fontId="11" fillId="6" borderId="0" xfId="0" applyFont="1" applyFill="1"/>
    <xf numFmtId="16" fontId="0" fillId="0" borderId="1" xfId="0" applyNumberFormat="1" applyBorder="1"/>
    <xf numFmtId="0" fontId="13" fillId="0" borderId="0" xfId="0" applyFont="1"/>
    <xf numFmtId="0" fontId="14" fillId="0" borderId="0" xfId="0" applyFont="1"/>
    <xf numFmtId="0" fontId="4" fillId="4" borderId="2" xfId="0" applyFont="1" applyFill="1" applyBorder="1" applyAlignment="1">
      <alignment horizontal="center" vertical="center"/>
    </xf>
    <xf numFmtId="0" fontId="0" fillId="0" borderId="2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Current KPI Score Progress (Scale 1-6)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Dashboard!$G$15</c:f>
              <c:strCache>
                <c:ptCount val="1"/>
                <c:pt idx="0">
                  <c:v>Skor (1-6)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Dashboard!$B$16:$B$26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Dashboard!$G$16:$G$26</c:f>
              <c:numCache>
                <c:formatCode>General</c:formatCode>
                <c:ptCount val="11"/>
                <c:pt idx="0">
                  <c:v>0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42-1745-8B1B-99B60211F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KPI Number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  <c:max val="6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1"/>
    </mc:Choice>
    <mc:Fallback>
      <c:style val="11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Produktivitas Editorial per Bulan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Dashboard!$C$5</c:f>
              <c:strCache>
                <c:ptCount val="1"/>
                <c:pt idx="0">
                  <c:v>Desk Review (Total)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Dashboard!$B$6:$B$11</c:f>
              <c:strCache>
                <c:ptCount val="6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</c:strCache>
            </c:strRef>
          </c:cat>
          <c:val>
            <c:numRef>
              <c:f>Dashboard!$C$6:$C$11</c:f>
              <c:numCache>
                <c:formatCode>General</c:formatCode>
                <c:ptCount val="6"/>
                <c:pt idx="0">
                  <c:v>15</c:v>
                </c:pt>
                <c:pt idx="1">
                  <c:v>10</c:v>
                </c:pt>
                <c:pt idx="2">
                  <c:v>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53-8540-94A6-D4A0D39C0FBC}"/>
            </c:ext>
          </c:extLst>
        </c:ser>
        <c:ser>
          <c:idx val="1"/>
          <c:order val="1"/>
          <c:tx>
            <c:strRef>
              <c:f>Dashboard!$D$5</c:f>
              <c:strCache>
                <c:ptCount val="1"/>
                <c:pt idx="0">
                  <c:v>Copy Edit (Total)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Dashboard!$B$6:$B$11</c:f>
              <c:strCache>
                <c:ptCount val="6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</c:strCache>
            </c:strRef>
          </c:cat>
          <c:val>
            <c:numRef>
              <c:f>Dashboard!$D$6:$D$11</c:f>
              <c:numCache>
                <c:formatCode>General</c:formatCode>
                <c:ptCount val="6"/>
                <c:pt idx="0">
                  <c:v>8</c:v>
                </c:pt>
                <c:pt idx="1">
                  <c:v>4</c:v>
                </c:pt>
                <c:pt idx="2">
                  <c:v>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53-8540-94A6-D4A0D39C0FBC}"/>
            </c:ext>
          </c:extLst>
        </c:ser>
        <c:ser>
          <c:idx val="2"/>
          <c:order val="2"/>
          <c:tx>
            <c:strRef>
              <c:f>Dashboard!$E$5</c:f>
              <c:strCache>
                <c:ptCount val="1"/>
                <c:pt idx="0">
                  <c:v>Reviewing (Total)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Dashboard!$B$6:$B$11</c:f>
              <c:strCache>
                <c:ptCount val="6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</c:strCache>
            </c:strRef>
          </c:cat>
          <c:val>
            <c:numRef>
              <c:f>Dashboard!$E$6:$E$11</c:f>
              <c:numCache>
                <c:formatCode>General</c:formatCode>
                <c:ptCount val="6"/>
                <c:pt idx="0">
                  <c:v>27</c:v>
                </c:pt>
                <c:pt idx="1">
                  <c:v>9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53-8540-94A6-D4A0D39C0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Jumlah Naskah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647700</xdr:colOff>
      <xdr:row>31</xdr:row>
      <xdr:rowOff>0</xdr:rowOff>
    </xdr:from>
    <xdr:ext cx="54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63500</xdr:colOff>
      <xdr:row>31</xdr:row>
      <xdr:rowOff>0</xdr:rowOff>
    </xdr:from>
    <xdr:ext cx="540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binusianorg.sharepoint.com/sites/BinusJurnal/Binus%20Jurnal/Binus%20Jurnal%20Publishing/26/HUMANIORA/APC/18.2/14935/HM_14935_APC.pdf?d=w1d7cc9105cd14da4b9a5631ac97c6fd3&amp;csf=1&amp;web=1&amp;e=F36RJM" TargetMode="External"/><Relationship Id="rId7" Type="http://schemas.openxmlformats.org/officeDocument/2006/relationships/hyperlink" Target="https://binusianorg.sharepoint.com/sites/BinusJurnal/Binus%20Jurnal/Binus%20Jurnal%20Publishing/26/HUMANIORA/APC/18.2/14604/HM_14604_APC.jpeg?d=wc056c15aaf014b4db918f2378bf88bb8&amp;csf=1&amp;web=1&amp;e=9juptf" TargetMode="External"/><Relationship Id="rId2" Type="http://schemas.openxmlformats.org/officeDocument/2006/relationships/hyperlink" Target="https://binusianorg.sharepoint.com/sites/BinusJurnal/Binus%20Jurnal/Binus%20Jurnal%20Publishing/26/LINGUA%20CULTURA/APC/21.1/LC_15568_APC.jpg?d=w991c0b355c3f43b18763a88bf6270206&amp;csf=1&amp;web=1&amp;e=a4HMRQ" TargetMode="External"/><Relationship Id="rId1" Type="http://schemas.openxmlformats.org/officeDocument/2006/relationships/hyperlink" Target="https://binusianorg.sharepoint.com/sites/BinusJurnal/_layouts/15/guestaccess.aspx?share=IQAis1N3sr5hRqc4h_MZomMCAfbvEYWzb6jG7eJ56WZVAtA&amp;e=e3SJDJ" TargetMode="External"/><Relationship Id="rId6" Type="http://schemas.openxmlformats.org/officeDocument/2006/relationships/hyperlink" Target="https://binusianorg.sharepoint.com/sites/BinusJurnal/Binus%20Jurnal/Binus%20Jurnal%20Publishing/26/HUMANIORA/APC/18.2/15423/HM_15423_APC.jpeg?d=w0b21d149fd8849b3b0be20ed3d650645&amp;csf=1&amp;web=1&amp;e=8QBR91" TargetMode="External"/><Relationship Id="rId5" Type="http://schemas.openxmlformats.org/officeDocument/2006/relationships/hyperlink" Target="https://binusianorg.sharepoint.com/sites/BinusJurnal/Binus%20Jurnal/Binus%20Jurnal%20Publishing/26/HUMANIORA/APC/18.2/14507/HM_14507_APC.jpeg?d=w93e68609f91c43deae8c1126db191e5a&amp;csf=1&amp;web=1&amp;e=HXAp0b" TargetMode="External"/><Relationship Id="rId4" Type="http://schemas.openxmlformats.org/officeDocument/2006/relationships/hyperlink" Target="https://binusianorg.sharepoint.com/sites/BinusJurnal/Binus%20Jurnal/Binus%20Jurnal%20Publishing/26/HUMANIORA/APC/18.2/14518/HM_14518_APC.jpeg?d=wff71e63a9065424e86b53eb86c91013e&amp;csf=1&amp;web=1&amp;e=VFkfQ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7"/>
  <sheetViews>
    <sheetView topLeftCell="A9" workbookViewId="0">
      <selection activeCell="K33" sqref="K33"/>
    </sheetView>
  </sheetViews>
  <sheetFormatPr defaultColWidth="8.85546875" defaultRowHeight="15" x14ac:dyDescent="0.25"/>
  <cols>
    <col min="2" max="2" width="12" customWidth="1"/>
    <col min="3" max="3" width="50" customWidth="1"/>
    <col min="4" max="4" width="12" customWidth="1"/>
    <col min="5" max="5" width="35" customWidth="1"/>
    <col min="6" max="6" width="20" customWidth="1"/>
    <col min="7" max="7" width="15" customWidth="1"/>
    <col min="8" max="8" width="25" customWidth="1"/>
  </cols>
  <sheetData>
    <row r="1" spans="2:8" ht="26.25" x14ac:dyDescent="0.4">
      <c r="B1" s="1" t="s">
        <v>0</v>
      </c>
    </row>
    <row r="2" spans="2:8" ht="15.75" x14ac:dyDescent="0.25">
      <c r="B2" s="2" t="s">
        <v>1</v>
      </c>
    </row>
    <row r="4" spans="2:8" ht="15.75" x14ac:dyDescent="0.25">
      <c r="B4" s="3" t="s">
        <v>2</v>
      </c>
    </row>
    <row r="5" spans="2:8" x14ac:dyDescent="0.25">
      <c r="B5" s="4" t="s">
        <v>3</v>
      </c>
      <c r="C5" s="4" t="s">
        <v>4</v>
      </c>
      <c r="D5" s="4" t="s">
        <v>5</v>
      </c>
      <c r="E5" s="4" t="s">
        <v>6</v>
      </c>
    </row>
    <row r="6" spans="2:8" x14ac:dyDescent="0.25">
      <c r="B6" s="5" t="s">
        <v>7</v>
      </c>
      <c r="C6" s="5">
        <f>COUNTIF('KPI_9_Review Format'!O12:O200, "July")</f>
        <v>15</v>
      </c>
      <c r="D6" s="5">
        <f>COUNTIF('KPI_8_Editing article'!O12:O200, "July")</f>
        <v>8</v>
      </c>
      <c r="E6" s="5">
        <f>COUNTIF('KPI_10_Waktu review'!G12:G200, "July")</f>
        <v>27</v>
      </c>
    </row>
    <row r="7" spans="2:8" x14ac:dyDescent="0.25">
      <c r="B7" s="5" t="s">
        <v>8</v>
      </c>
      <c r="C7" s="5">
        <f>COUNTIF('KPI_9_Review Format'!O12:O200, "August")</f>
        <v>10</v>
      </c>
      <c r="D7" s="5">
        <f>COUNTIF('KPI_8_Editing article'!O12:O200, "August")</f>
        <v>4</v>
      </c>
      <c r="E7" s="5">
        <f>COUNTIF('KPI_10_Waktu review'!G12:G200, "August")</f>
        <v>9</v>
      </c>
    </row>
    <row r="8" spans="2:8" x14ac:dyDescent="0.25">
      <c r="B8" s="5" t="s">
        <v>9</v>
      </c>
      <c r="C8" s="5">
        <f>COUNTIF('KPI_9_Review Format'!O12:O200, "September")</f>
        <v>4</v>
      </c>
      <c r="D8" s="5">
        <f>COUNTIF('KPI_8_Editing article'!O12:O200, "September")</f>
        <v>4</v>
      </c>
      <c r="E8" s="5">
        <f>COUNTIF('KPI_10_Waktu review'!G12:G200, "September")</f>
        <v>2</v>
      </c>
    </row>
    <row r="9" spans="2:8" x14ac:dyDescent="0.25">
      <c r="B9" s="5" t="s">
        <v>10</v>
      </c>
      <c r="C9" s="5">
        <f>COUNTIF('KPI_9_Review Format'!O12:O200, "October")</f>
        <v>0</v>
      </c>
      <c r="D9" s="5">
        <f>COUNTIF('KPI_8_Editing article'!O12:O200, "October")</f>
        <v>0</v>
      </c>
      <c r="E9" s="5">
        <f>COUNTIF('KPI_10_Waktu review'!G12:G200, "October")</f>
        <v>0</v>
      </c>
    </row>
    <row r="10" spans="2:8" x14ac:dyDescent="0.25">
      <c r="B10" s="5" t="s">
        <v>11</v>
      </c>
      <c r="C10" s="5">
        <f>COUNTIF('KPI_9_Review Format'!O12:O200, "November")</f>
        <v>0</v>
      </c>
      <c r="D10" s="5">
        <f>COUNTIF('KPI_8_Editing article'!O12:O200, "November")</f>
        <v>0</v>
      </c>
      <c r="E10" s="5">
        <f>COUNTIF('KPI_10_Waktu review'!G12:G200, "November")</f>
        <v>0</v>
      </c>
    </row>
    <row r="11" spans="2:8" x14ac:dyDescent="0.25">
      <c r="B11" s="5" t="s">
        <v>12</v>
      </c>
      <c r="C11" s="5">
        <f>COUNTIF('KPI_9_Review Format'!O12:O200, "December")</f>
        <v>0</v>
      </c>
      <c r="D11" s="5">
        <f>COUNTIF('KPI_8_Editing article'!O12:O200, "December")</f>
        <v>0</v>
      </c>
      <c r="E11" s="5">
        <f>COUNTIF('KPI_10_Waktu review'!G12:G200, "December")</f>
        <v>0</v>
      </c>
    </row>
    <row r="14" spans="2:8" ht="15.75" x14ac:dyDescent="0.25">
      <c r="B14" s="3" t="s">
        <v>13</v>
      </c>
    </row>
    <row r="15" spans="2:8" x14ac:dyDescent="0.25">
      <c r="B15" s="4" t="s">
        <v>14</v>
      </c>
      <c r="C15" s="4" t="s">
        <v>15</v>
      </c>
      <c r="D15" s="4" t="s">
        <v>16</v>
      </c>
      <c r="E15" s="4" t="s">
        <v>17</v>
      </c>
      <c r="F15" s="4" t="s">
        <v>18</v>
      </c>
      <c r="G15" s="4" t="s">
        <v>19</v>
      </c>
      <c r="H15" s="4" t="s">
        <v>20</v>
      </c>
    </row>
    <row r="16" spans="2:8" x14ac:dyDescent="0.25">
      <c r="B16" s="6">
        <v>1</v>
      </c>
      <c r="C16" s="5" t="s">
        <v>21</v>
      </c>
      <c r="D16" s="6">
        <v>15</v>
      </c>
      <c r="E16" s="5" t="s">
        <v>22</v>
      </c>
      <c r="F16" s="5">
        <f>'KPI_1_PI Unit Center'!B4</f>
        <v>0</v>
      </c>
      <c r="G16" s="7">
        <f>'KPI_1_PI Unit Center'!B5</f>
        <v>0</v>
      </c>
      <c r="H16" s="8">
        <f t="shared" ref="H16:H26" si="0">(G16/4)*(D16)</f>
        <v>0</v>
      </c>
    </row>
    <row r="17" spans="2:8" x14ac:dyDescent="0.25">
      <c r="B17" s="6">
        <v>2</v>
      </c>
      <c r="C17" s="5" t="s">
        <v>23</v>
      </c>
      <c r="D17" s="6">
        <v>5</v>
      </c>
      <c r="E17" s="5" t="s">
        <v>24</v>
      </c>
      <c r="F17" s="5">
        <f>'KPI_2_Pendataan APC'!B4</f>
        <v>1</v>
      </c>
      <c r="G17" s="7">
        <f>'KPI_2_Pendataan APC'!B5</f>
        <v>4</v>
      </c>
      <c r="H17" s="8">
        <f t="shared" si="0"/>
        <v>5</v>
      </c>
    </row>
    <row r="18" spans="2:8" x14ac:dyDescent="0.25">
      <c r="B18" s="6">
        <v>3</v>
      </c>
      <c r="C18" s="5" t="s">
        <v>25</v>
      </c>
      <c r="D18" s="6">
        <v>7.5</v>
      </c>
      <c r="E18" s="5" t="s">
        <v>26</v>
      </c>
      <c r="F18" s="5">
        <f>'KPI_3_Enhancing OJS'!B4</f>
        <v>0</v>
      </c>
      <c r="G18" s="7">
        <f>'KPI_3_Enhancing OJS'!B5</f>
        <v>0</v>
      </c>
      <c r="H18" s="8">
        <f t="shared" si="0"/>
        <v>0</v>
      </c>
    </row>
    <row r="19" spans="2:8" x14ac:dyDescent="0.25">
      <c r="B19" s="6">
        <v>4</v>
      </c>
      <c r="C19" s="5" t="s">
        <v>27</v>
      </c>
      <c r="D19" s="6">
        <v>5</v>
      </c>
      <c r="E19" s="5" t="s">
        <v>28</v>
      </c>
      <c r="F19" s="5">
        <f>'KPI_4_Graphic Abstrac'!B4</f>
        <v>0</v>
      </c>
      <c r="G19" s="7">
        <f>'KPI_4_Graphic Abstrac'!B5</f>
        <v>0</v>
      </c>
      <c r="H19" s="8">
        <f t="shared" si="0"/>
        <v>0</v>
      </c>
    </row>
    <row r="20" spans="2:8" x14ac:dyDescent="0.25">
      <c r="B20" s="6">
        <v>5</v>
      </c>
      <c r="C20" s="5" t="s">
        <v>29</v>
      </c>
      <c r="D20" s="6">
        <v>10</v>
      </c>
      <c r="E20" s="5" t="s">
        <v>30</v>
      </c>
      <c r="F20" s="5">
        <f>'KPI_5_Writing Competi'!B4</f>
        <v>0</v>
      </c>
      <c r="G20" s="7">
        <f>'KPI_5_Writing Competi'!B5</f>
        <v>0</v>
      </c>
      <c r="H20" s="8">
        <f t="shared" si="0"/>
        <v>0</v>
      </c>
    </row>
    <row r="21" spans="2:8" x14ac:dyDescent="0.25">
      <c r="B21" s="6">
        <v>6</v>
      </c>
      <c r="C21" s="5" t="s">
        <v>31</v>
      </c>
      <c r="D21" s="6">
        <v>7.5</v>
      </c>
      <c r="E21" s="5" t="s">
        <v>32</v>
      </c>
      <c r="F21" s="5">
        <f>'KPI_6_Student Comment'!B4</f>
        <v>0</v>
      </c>
      <c r="G21" s="7">
        <f>'KPI_6_Student Comment'!B5</f>
        <v>0</v>
      </c>
      <c r="H21" s="8">
        <f t="shared" si="0"/>
        <v>0</v>
      </c>
    </row>
    <row r="22" spans="2:8" x14ac:dyDescent="0.25">
      <c r="B22" s="6">
        <v>7</v>
      </c>
      <c r="C22" s="5" t="s">
        <v>33</v>
      </c>
      <c r="D22" s="6">
        <v>10</v>
      </c>
      <c r="E22" s="5" t="s">
        <v>34</v>
      </c>
      <c r="F22" s="5">
        <f>KPI_7_ICOBAR!B4</f>
        <v>0</v>
      </c>
      <c r="G22" s="7">
        <f>KPI_7_ICOBAR!B5</f>
        <v>0</v>
      </c>
      <c r="H22" s="8">
        <f t="shared" si="0"/>
        <v>0</v>
      </c>
    </row>
    <row r="23" spans="2:8" x14ac:dyDescent="0.25">
      <c r="B23" s="6">
        <v>8</v>
      </c>
      <c r="C23" s="5" t="s">
        <v>35</v>
      </c>
      <c r="D23" s="6">
        <v>15</v>
      </c>
      <c r="E23" s="5" t="s">
        <v>36</v>
      </c>
      <c r="F23" s="5">
        <f>'KPI_8_Editing article'!B4</f>
        <v>0.21562500000000001</v>
      </c>
      <c r="G23" s="7">
        <f>'KPI_8_Editing article'!B5</f>
        <v>6</v>
      </c>
      <c r="H23" s="8">
        <f t="shared" si="0"/>
        <v>22.5</v>
      </c>
    </row>
    <row r="24" spans="2:8" x14ac:dyDescent="0.25">
      <c r="B24" s="6">
        <v>9</v>
      </c>
      <c r="C24" s="5" t="s">
        <v>37</v>
      </c>
      <c r="D24" s="6">
        <v>10</v>
      </c>
      <c r="E24" s="5" t="s">
        <v>38</v>
      </c>
      <c r="F24" s="5">
        <f>'KPI_9_Review Format'!B4</f>
        <v>4.3320105820105821E-2</v>
      </c>
      <c r="G24" s="7">
        <f>'KPI_9_Review Format'!B5</f>
        <v>6</v>
      </c>
      <c r="H24" s="8">
        <f t="shared" si="0"/>
        <v>15</v>
      </c>
    </row>
    <row r="25" spans="2:8" x14ac:dyDescent="0.25">
      <c r="B25" s="6">
        <v>10</v>
      </c>
      <c r="C25" s="5" t="s">
        <v>39</v>
      </c>
      <c r="D25" s="6">
        <v>10</v>
      </c>
      <c r="E25" s="5" t="s">
        <v>40</v>
      </c>
      <c r="F25" s="5">
        <f>'KPI_10_Waktu review'!B4</f>
        <v>1.8857142857142857</v>
      </c>
      <c r="G25" s="7">
        <f>'KPI_10_Waktu review'!B5</f>
        <v>6</v>
      </c>
      <c r="H25" s="8">
        <f t="shared" si="0"/>
        <v>15</v>
      </c>
    </row>
    <row r="26" spans="2:8" x14ac:dyDescent="0.25">
      <c r="B26" s="6">
        <v>11</v>
      </c>
      <c r="C26" s="5" t="s">
        <v>41</v>
      </c>
      <c r="D26" s="6">
        <v>5</v>
      </c>
      <c r="E26" s="5" t="s">
        <v>42</v>
      </c>
      <c r="F26" s="5">
        <f>'KPI_11_Tugas Khusus'!B4</f>
        <v>0</v>
      </c>
      <c r="G26" s="7">
        <f>'KPI_11_Tugas Khusus'!B5</f>
        <v>0</v>
      </c>
      <c r="H26" s="8">
        <f t="shared" si="0"/>
        <v>0</v>
      </c>
    </row>
    <row r="27" spans="2:8" x14ac:dyDescent="0.25">
      <c r="G27" s="9" t="s">
        <v>43</v>
      </c>
      <c r="H27" s="10">
        <f>SUM(H16:H26)</f>
        <v>57.5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/>
  </sheetViews>
  <sheetFormatPr defaultColWidth="8.85546875" defaultRowHeight="15" x14ac:dyDescent="0.25"/>
  <cols>
    <col min="1" max="1" width="33" customWidth="1"/>
    <col min="2" max="2" width="9" customWidth="1"/>
    <col min="3" max="3" width="48" customWidth="1"/>
    <col min="4" max="5" width="9" customWidth="1"/>
    <col min="6" max="6" width="13" customWidth="1"/>
  </cols>
  <sheetData>
    <row r="1" spans="1:6" ht="18.75" x14ac:dyDescent="0.3">
      <c r="A1" s="11" t="s">
        <v>44</v>
      </c>
    </row>
    <row r="2" spans="1:6" x14ac:dyDescent="0.25">
      <c r="A2" s="12" t="s">
        <v>45</v>
      </c>
    </row>
    <row r="4" spans="1:6" x14ac:dyDescent="0.25">
      <c r="A4" s="13" t="s">
        <v>46</v>
      </c>
      <c r="B4" s="14">
        <v>0</v>
      </c>
      <c r="C4" s="15" t="s">
        <v>47</v>
      </c>
    </row>
    <row r="5" spans="1:6" x14ac:dyDescent="0.25">
      <c r="A5" s="13" t="s">
        <v>48</v>
      </c>
      <c r="B5" s="16">
        <v>0</v>
      </c>
      <c r="C5" s="15" t="s">
        <v>49</v>
      </c>
    </row>
    <row r="7" spans="1:6" x14ac:dyDescent="0.25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</row>
    <row r="8" spans="1:6" ht="39.950000000000003" customHeight="1" x14ac:dyDescent="0.25">
      <c r="A8" s="17" t="s">
        <v>56</v>
      </c>
      <c r="B8" s="17" t="s">
        <v>22</v>
      </c>
      <c r="C8" s="17" t="s">
        <v>22</v>
      </c>
      <c r="D8" s="17" t="s">
        <v>22</v>
      </c>
      <c r="E8" s="17" t="s">
        <v>22</v>
      </c>
      <c r="F8" s="17" t="s">
        <v>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1"/>
  <sheetViews>
    <sheetView tabSelected="1" topLeftCell="A6" workbookViewId="0">
      <selection activeCell="E23" sqref="E23"/>
    </sheetView>
  </sheetViews>
  <sheetFormatPr defaultColWidth="8.85546875" defaultRowHeight="15" x14ac:dyDescent="0.25"/>
  <cols>
    <col min="1" max="2" width="50" customWidth="1"/>
    <col min="3" max="3" width="9" customWidth="1"/>
    <col min="4" max="4" width="29" customWidth="1"/>
    <col min="5" max="5" width="23.7109375" customWidth="1"/>
    <col min="6" max="6" width="67.85546875" customWidth="1"/>
    <col min="7" max="7" width="8" customWidth="1"/>
    <col min="8" max="8" width="18.28515625" customWidth="1"/>
  </cols>
  <sheetData>
    <row r="1" spans="1:8" ht="18.75" x14ac:dyDescent="0.3">
      <c r="A1" s="11" t="s">
        <v>58</v>
      </c>
    </row>
    <row r="2" spans="1:8" x14ac:dyDescent="0.25">
      <c r="A2" s="12" t="s">
        <v>59</v>
      </c>
    </row>
    <row r="4" spans="1:8" x14ac:dyDescent="0.25">
      <c r="A4" s="13" t="s">
        <v>46</v>
      </c>
      <c r="B4" s="18">
        <f>IF(COUNTA(B12:B200)=0, 0, COUNTIF(D12:D200, "Diterima")/COUNTA(B12:B200))</f>
        <v>1</v>
      </c>
    </row>
    <row r="5" spans="1:8" x14ac:dyDescent="0.25">
      <c r="A5" s="13" t="s">
        <v>48</v>
      </c>
      <c r="B5" s="16">
        <f>IF(B4=1, 4, IF(B4&gt;0, 1, 0))</f>
        <v>4</v>
      </c>
    </row>
    <row r="7" spans="1:8" x14ac:dyDescent="0.25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</row>
    <row r="8" spans="1:8" ht="39.950000000000003" customHeight="1" x14ac:dyDescent="0.25">
      <c r="A8" s="17" t="s">
        <v>60</v>
      </c>
      <c r="B8" s="17" t="s">
        <v>61</v>
      </c>
      <c r="C8" s="17" t="s">
        <v>61</v>
      </c>
      <c r="D8" s="17" t="s">
        <v>24</v>
      </c>
      <c r="E8" s="17" t="s">
        <v>61</v>
      </c>
      <c r="F8" s="17" t="s">
        <v>62</v>
      </c>
    </row>
    <row r="10" spans="1:8" x14ac:dyDescent="0.25">
      <c r="A10" s="19" t="s">
        <v>63</v>
      </c>
    </row>
    <row r="11" spans="1:8" x14ac:dyDescent="0.25">
      <c r="A11" s="4" t="s">
        <v>14</v>
      </c>
      <c r="B11" s="4" t="s">
        <v>64</v>
      </c>
      <c r="C11" s="4" t="s">
        <v>65</v>
      </c>
      <c r="D11" s="4" t="s">
        <v>66</v>
      </c>
      <c r="E11" s="4" t="s">
        <v>67</v>
      </c>
      <c r="F11" s="4" t="s">
        <v>68</v>
      </c>
      <c r="G11" s="4" t="s">
        <v>69</v>
      </c>
      <c r="H11" s="40" t="s">
        <v>110</v>
      </c>
    </row>
    <row r="12" spans="1:8" x14ac:dyDescent="0.25">
      <c r="A12" s="20">
        <v>1</v>
      </c>
      <c r="B12" s="5">
        <v>14463</v>
      </c>
      <c r="C12" s="5" t="s">
        <v>70</v>
      </c>
      <c r="D12" s="5" t="s">
        <v>71</v>
      </c>
      <c r="E12" s="21">
        <v>46234</v>
      </c>
      <c r="F12" s="5" t="s">
        <v>72</v>
      </c>
      <c r="G12" s="5" t="s">
        <v>7</v>
      </c>
    </row>
    <row r="13" spans="1:8" x14ac:dyDescent="0.25">
      <c r="A13" s="20">
        <v>2</v>
      </c>
      <c r="B13" s="5">
        <v>14866</v>
      </c>
      <c r="C13" s="5" t="s">
        <v>73</v>
      </c>
      <c r="D13" s="5" t="s">
        <v>71</v>
      </c>
      <c r="E13" s="21">
        <v>46241</v>
      </c>
      <c r="F13" s="5" t="s">
        <v>74</v>
      </c>
      <c r="G13" s="5" t="s">
        <v>8</v>
      </c>
      <c r="H13" s="22" t="s">
        <v>385</v>
      </c>
    </row>
    <row r="14" spans="1:8" x14ac:dyDescent="0.25">
      <c r="A14" s="20">
        <v>3</v>
      </c>
      <c r="B14" s="5">
        <v>14145</v>
      </c>
      <c r="C14" s="5" t="s">
        <v>70</v>
      </c>
      <c r="D14" s="5" t="s">
        <v>71</v>
      </c>
      <c r="E14" s="21">
        <v>46244</v>
      </c>
      <c r="F14" s="5"/>
      <c r="G14" s="5" t="s">
        <v>8</v>
      </c>
      <c r="H14" s="5" t="s">
        <v>383</v>
      </c>
    </row>
    <row r="15" spans="1:8" x14ac:dyDescent="0.25">
      <c r="A15" s="22">
        <v>4</v>
      </c>
      <c r="B15">
        <v>14976</v>
      </c>
      <c r="C15" t="s">
        <v>70</v>
      </c>
      <c r="D15" t="s">
        <v>71</v>
      </c>
      <c r="E15" s="31">
        <v>46262</v>
      </c>
      <c r="F15" s="33" t="s">
        <v>344</v>
      </c>
      <c r="G15" t="s">
        <v>8</v>
      </c>
    </row>
    <row r="16" spans="1:8" x14ac:dyDescent="0.25">
      <c r="A16" s="22">
        <v>5</v>
      </c>
      <c r="B16">
        <v>15568</v>
      </c>
      <c r="C16" t="s">
        <v>73</v>
      </c>
      <c r="D16" t="s">
        <v>71</v>
      </c>
      <c r="E16" s="31">
        <v>46262</v>
      </c>
      <c r="F16" s="34" t="s">
        <v>345</v>
      </c>
      <c r="G16" t="s">
        <v>8</v>
      </c>
      <c r="H16" s="22" t="s">
        <v>384</v>
      </c>
    </row>
    <row r="17" spans="1:8" x14ac:dyDescent="0.25">
      <c r="A17" s="22">
        <v>6</v>
      </c>
      <c r="B17">
        <v>14935</v>
      </c>
      <c r="C17" t="s">
        <v>162</v>
      </c>
      <c r="D17" t="s">
        <v>71</v>
      </c>
      <c r="E17" s="31">
        <v>46265</v>
      </c>
      <c r="F17" s="34" t="s">
        <v>346</v>
      </c>
      <c r="G17" t="s">
        <v>8</v>
      </c>
      <c r="H17" s="5" t="s">
        <v>380</v>
      </c>
    </row>
    <row r="18" spans="1:8" x14ac:dyDescent="0.25">
      <c r="A18" s="22">
        <v>7</v>
      </c>
      <c r="B18">
        <v>14518</v>
      </c>
      <c r="C18" t="s">
        <v>162</v>
      </c>
      <c r="D18" t="s">
        <v>71</v>
      </c>
      <c r="E18" s="31">
        <v>46258</v>
      </c>
      <c r="F18" s="34" t="s">
        <v>347</v>
      </c>
      <c r="G18" t="s">
        <v>8</v>
      </c>
      <c r="H18" t="s">
        <v>377</v>
      </c>
    </row>
    <row r="19" spans="1:8" x14ac:dyDescent="0.25">
      <c r="A19" s="22">
        <v>8</v>
      </c>
      <c r="B19">
        <v>14507</v>
      </c>
      <c r="C19" t="s">
        <v>162</v>
      </c>
      <c r="D19" t="s">
        <v>71</v>
      </c>
      <c r="E19" s="31">
        <v>46265</v>
      </c>
      <c r="F19" s="34" t="s">
        <v>348</v>
      </c>
      <c r="G19" t="s">
        <v>8</v>
      </c>
      <c r="H19" s="5" t="s">
        <v>382</v>
      </c>
    </row>
    <row r="20" spans="1:8" x14ac:dyDescent="0.25">
      <c r="A20" s="22">
        <v>9</v>
      </c>
      <c r="B20">
        <v>15423</v>
      </c>
      <c r="C20" t="s">
        <v>162</v>
      </c>
      <c r="D20" t="s">
        <v>71</v>
      </c>
      <c r="E20" s="31">
        <v>46269</v>
      </c>
      <c r="F20" s="34" t="s">
        <v>364</v>
      </c>
      <c r="G20" t="s">
        <v>9</v>
      </c>
      <c r="H20" s="5" t="s">
        <v>378</v>
      </c>
    </row>
    <row r="21" spans="1:8" x14ac:dyDescent="0.25">
      <c r="A21" s="22">
        <v>10</v>
      </c>
      <c r="B21">
        <v>14604</v>
      </c>
      <c r="C21" t="s">
        <v>162</v>
      </c>
      <c r="D21" t="s">
        <v>71</v>
      </c>
      <c r="E21" s="31">
        <v>46267</v>
      </c>
      <c r="F21" s="34" t="s">
        <v>365</v>
      </c>
      <c r="G21" t="s">
        <v>9</v>
      </c>
      <c r="H21" s="5" t="s">
        <v>381</v>
      </c>
    </row>
    <row r="22" spans="1:8" x14ac:dyDescent="0.25">
      <c r="A22" s="22">
        <v>11</v>
      </c>
      <c r="B22">
        <v>14348</v>
      </c>
      <c r="C22" t="s">
        <v>162</v>
      </c>
      <c r="D22" t="s">
        <v>386</v>
      </c>
      <c r="E22" s="31">
        <v>46175</v>
      </c>
      <c r="G22" t="s">
        <v>7</v>
      </c>
      <c r="H22" s="5" t="s">
        <v>379</v>
      </c>
    </row>
    <row r="23" spans="1:8" x14ac:dyDescent="0.25">
      <c r="A23" s="22"/>
    </row>
    <row r="24" spans="1:8" x14ac:dyDescent="0.25">
      <c r="A24" s="22"/>
    </row>
    <row r="25" spans="1:8" x14ac:dyDescent="0.25">
      <c r="A25" s="22"/>
    </row>
    <row r="26" spans="1:8" x14ac:dyDescent="0.25">
      <c r="A26" s="22"/>
    </row>
    <row r="27" spans="1:8" x14ac:dyDescent="0.25">
      <c r="A27" s="22"/>
    </row>
    <row r="28" spans="1:8" x14ac:dyDescent="0.25">
      <c r="A28" s="22"/>
    </row>
    <row r="29" spans="1:8" x14ac:dyDescent="0.25">
      <c r="A29" s="22"/>
    </row>
    <row r="30" spans="1:8" x14ac:dyDescent="0.25">
      <c r="A30" s="22"/>
    </row>
    <row r="31" spans="1:8" x14ac:dyDescent="0.25">
      <c r="A31" s="22"/>
    </row>
    <row r="32" spans="1:8" x14ac:dyDescent="0.25">
      <c r="A32" s="22"/>
    </row>
    <row r="33" spans="1:3" x14ac:dyDescent="0.25">
      <c r="A33" s="22"/>
    </row>
    <row r="34" spans="1:3" x14ac:dyDescent="0.25">
      <c r="A34" s="22"/>
    </row>
    <row r="35" spans="1:3" x14ac:dyDescent="0.25">
      <c r="B35" s="5"/>
      <c r="C35" s="5"/>
    </row>
    <row r="36" spans="1:3" x14ac:dyDescent="0.25">
      <c r="B36" s="5"/>
      <c r="C36" s="5"/>
    </row>
    <row r="37" spans="1:3" x14ac:dyDescent="0.25">
      <c r="B37" s="5"/>
      <c r="C37" s="5"/>
    </row>
    <row r="38" spans="1:3" x14ac:dyDescent="0.25">
      <c r="B38" s="5"/>
      <c r="C38" s="5"/>
    </row>
    <row r="39" spans="1:3" x14ac:dyDescent="0.25">
      <c r="B39" s="5"/>
      <c r="C39" s="5"/>
    </row>
    <row r="40" spans="1:3" x14ac:dyDescent="0.25">
      <c r="B40" s="5"/>
      <c r="C40" s="5"/>
    </row>
    <row r="41" spans="1:3" x14ac:dyDescent="0.25">
      <c r="B41" s="5"/>
      <c r="C41" s="5"/>
    </row>
    <row r="42" spans="1:3" x14ac:dyDescent="0.25">
      <c r="C42" s="41"/>
    </row>
    <row r="43" spans="1:3" x14ac:dyDescent="0.25">
      <c r="C43" s="41"/>
    </row>
    <row r="44" spans="1:3" x14ac:dyDescent="0.25">
      <c r="A44" s="22"/>
    </row>
    <row r="45" spans="1:3" x14ac:dyDescent="0.25">
      <c r="A45" s="22"/>
    </row>
    <row r="46" spans="1:3" x14ac:dyDescent="0.25">
      <c r="A46" s="22"/>
    </row>
    <row r="47" spans="1:3" x14ac:dyDescent="0.25">
      <c r="A47" s="22"/>
    </row>
    <row r="48" spans="1:3" x14ac:dyDescent="0.25">
      <c r="A48" s="22"/>
    </row>
    <row r="49" spans="1:1" x14ac:dyDescent="0.25">
      <c r="A49" s="22"/>
    </row>
    <row r="50" spans="1:1" x14ac:dyDescent="0.25">
      <c r="A50" s="22"/>
    </row>
    <row r="51" spans="1:1" x14ac:dyDescent="0.25">
      <c r="A51" s="22"/>
    </row>
    <row r="52" spans="1:1" x14ac:dyDescent="0.25">
      <c r="A52" s="22"/>
    </row>
    <row r="53" spans="1:1" x14ac:dyDescent="0.25">
      <c r="A53" s="22"/>
    </row>
    <row r="54" spans="1:1" x14ac:dyDescent="0.25">
      <c r="A54" s="22"/>
    </row>
    <row r="55" spans="1:1" x14ac:dyDescent="0.25">
      <c r="A55" s="22"/>
    </row>
    <row r="56" spans="1:1" x14ac:dyDescent="0.25">
      <c r="A56" s="22"/>
    </row>
    <row r="57" spans="1:1" x14ac:dyDescent="0.25">
      <c r="A57" s="22"/>
    </row>
    <row r="58" spans="1:1" x14ac:dyDescent="0.25">
      <c r="A58" s="22"/>
    </row>
    <row r="59" spans="1:1" x14ac:dyDescent="0.25">
      <c r="A59" s="22"/>
    </row>
    <row r="60" spans="1:1" x14ac:dyDescent="0.25">
      <c r="A60" s="22"/>
    </row>
    <row r="61" spans="1:1" x14ac:dyDescent="0.25">
      <c r="A61" s="22"/>
    </row>
    <row r="62" spans="1:1" x14ac:dyDescent="0.25">
      <c r="A62" s="22"/>
    </row>
    <row r="63" spans="1:1" x14ac:dyDescent="0.25">
      <c r="A63" s="22"/>
    </row>
    <row r="64" spans="1:1" x14ac:dyDescent="0.25">
      <c r="A64" s="22"/>
    </row>
    <row r="65" spans="1:1" x14ac:dyDescent="0.25">
      <c r="A65" s="22"/>
    </row>
    <row r="66" spans="1:1" x14ac:dyDescent="0.25">
      <c r="A66" s="22"/>
    </row>
    <row r="67" spans="1:1" x14ac:dyDescent="0.25">
      <c r="A67" s="22"/>
    </row>
    <row r="68" spans="1:1" x14ac:dyDescent="0.25">
      <c r="A68" s="22"/>
    </row>
    <row r="69" spans="1:1" x14ac:dyDescent="0.25">
      <c r="A69" s="22"/>
    </row>
    <row r="70" spans="1:1" x14ac:dyDescent="0.25">
      <c r="A70" s="22"/>
    </row>
    <row r="71" spans="1:1" x14ac:dyDescent="0.25">
      <c r="A71" s="22"/>
    </row>
    <row r="72" spans="1:1" x14ac:dyDescent="0.25">
      <c r="A72" s="22"/>
    </row>
    <row r="73" spans="1:1" x14ac:dyDescent="0.25">
      <c r="A73" s="22"/>
    </row>
    <row r="74" spans="1:1" x14ac:dyDescent="0.25">
      <c r="A74" s="22"/>
    </row>
    <row r="75" spans="1:1" x14ac:dyDescent="0.25">
      <c r="A75" s="22"/>
    </row>
    <row r="76" spans="1:1" x14ac:dyDescent="0.25">
      <c r="A76" s="22"/>
    </row>
    <row r="77" spans="1:1" x14ac:dyDescent="0.25">
      <c r="A77" s="22"/>
    </row>
    <row r="78" spans="1:1" x14ac:dyDescent="0.25">
      <c r="A78" s="22"/>
    </row>
    <row r="79" spans="1:1" x14ac:dyDescent="0.25">
      <c r="A79" s="22"/>
    </row>
    <row r="80" spans="1:1" x14ac:dyDescent="0.25">
      <c r="A80" s="22"/>
    </row>
    <row r="81" spans="1:1" x14ac:dyDescent="0.25">
      <c r="A81" s="22"/>
    </row>
    <row r="82" spans="1:1" x14ac:dyDescent="0.25">
      <c r="A82" s="22"/>
    </row>
    <row r="83" spans="1:1" x14ac:dyDescent="0.25">
      <c r="A83" s="22"/>
    </row>
    <row r="84" spans="1:1" x14ac:dyDescent="0.25">
      <c r="A84" s="22"/>
    </row>
    <row r="85" spans="1:1" x14ac:dyDescent="0.25">
      <c r="A85" s="22"/>
    </row>
    <row r="86" spans="1:1" x14ac:dyDescent="0.25">
      <c r="A86" s="22"/>
    </row>
    <row r="87" spans="1:1" x14ac:dyDescent="0.25">
      <c r="A87" s="22"/>
    </row>
    <row r="88" spans="1:1" x14ac:dyDescent="0.25">
      <c r="A88" s="22"/>
    </row>
    <row r="89" spans="1:1" x14ac:dyDescent="0.25">
      <c r="A89" s="22"/>
    </row>
    <row r="90" spans="1:1" x14ac:dyDescent="0.25">
      <c r="A90" s="22"/>
    </row>
    <row r="91" spans="1:1" x14ac:dyDescent="0.25">
      <c r="A91" s="22"/>
    </row>
    <row r="92" spans="1:1" x14ac:dyDescent="0.25">
      <c r="A92" s="22"/>
    </row>
    <row r="93" spans="1:1" x14ac:dyDescent="0.25">
      <c r="A93" s="22"/>
    </row>
    <row r="94" spans="1:1" x14ac:dyDescent="0.25">
      <c r="A94" s="22"/>
    </row>
    <row r="95" spans="1:1" x14ac:dyDescent="0.25">
      <c r="A95" s="22"/>
    </row>
    <row r="96" spans="1:1" x14ac:dyDescent="0.25">
      <c r="A96" s="22"/>
    </row>
    <row r="97" spans="1:1" x14ac:dyDescent="0.25">
      <c r="A97" s="22"/>
    </row>
    <row r="98" spans="1:1" x14ac:dyDescent="0.25">
      <c r="A98" s="22"/>
    </row>
    <row r="99" spans="1:1" x14ac:dyDescent="0.25">
      <c r="A99" s="22"/>
    </row>
    <row r="100" spans="1:1" x14ac:dyDescent="0.25">
      <c r="A100" s="22"/>
    </row>
    <row r="101" spans="1:1" x14ac:dyDescent="0.25">
      <c r="A101" s="22"/>
    </row>
    <row r="102" spans="1:1" x14ac:dyDescent="0.25">
      <c r="A102" s="22"/>
    </row>
    <row r="103" spans="1:1" x14ac:dyDescent="0.25">
      <c r="A103" s="22"/>
    </row>
    <row r="104" spans="1:1" x14ac:dyDescent="0.25">
      <c r="A104" s="22"/>
    </row>
    <row r="105" spans="1:1" x14ac:dyDescent="0.25">
      <c r="A105" s="22"/>
    </row>
    <row r="106" spans="1:1" x14ac:dyDescent="0.25">
      <c r="A106" s="22"/>
    </row>
    <row r="107" spans="1:1" x14ac:dyDescent="0.25">
      <c r="A107" s="22"/>
    </row>
    <row r="108" spans="1:1" x14ac:dyDescent="0.25">
      <c r="A108" s="22"/>
    </row>
    <row r="109" spans="1:1" x14ac:dyDescent="0.25">
      <c r="A109" s="22"/>
    </row>
    <row r="110" spans="1:1" x14ac:dyDescent="0.25">
      <c r="A110" s="22"/>
    </row>
    <row r="111" spans="1:1" x14ac:dyDescent="0.25">
      <c r="A111" s="22"/>
    </row>
    <row r="112" spans="1:1" x14ac:dyDescent="0.25">
      <c r="A112" s="22"/>
    </row>
    <row r="113" spans="1:1" x14ac:dyDescent="0.25">
      <c r="A113" s="22"/>
    </row>
    <row r="114" spans="1:1" x14ac:dyDescent="0.25">
      <c r="A114" s="22"/>
    </row>
    <row r="115" spans="1:1" x14ac:dyDescent="0.25">
      <c r="A115" s="22"/>
    </row>
    <row r="116" spans="1:1" x14ac:dyDescent="0.25">
      <c r="A116" s="22"/>
    </row>
    <row r="117" spans="1:1" x14ac:dyDescent="0.25">
      <c r="A117" s="22"/>
    </row>
    <row r="118" spans="1:1" x14ac:dyDescent="0.25">
      <c r="A118" s="22"/>
    </row>
    <row r="119" spans="1:1" x14ac:dyDescent="0.25">
      <c r="A119" s="22"/>
    </row>
    <row r="120" spans="1:1" x14ac:dyDescent="0.25">
      <c r="A120" s="22"/>
    </row>
    <row r="121" spans="1:1" x14ac:dyDescent="0.25">
      <c r="A121" s="22"/>
    </row>
    <row r="122" spans="1:1" x14ac:dyDescent="0.25">
      <c r="A122" s="22"/>
    </row>
    <row r="123" spans="1:1" x14ac:dyDescent="0.25">
      <c r="A123" s="22"/>
    </row>
    <row r="124" spans="1:1" x14ac:dyDescent="0.25">
      <c r="A124" s="22"/>
    </row>
    <row r="125" spans="1:1" x14ac:dyDescent="0.25">
      <c r="A125" s="22"/>
    </row>
    <row r="126" spans="1:1" x14ac:dyDescent="0.25">
      <c r="A126" s="22"/>
    </row>
    <row r="127" spans="1:1" x14ac:dyDescent="0.25">
      <c r="A127" s="22"/>
    </row>
    <row r="128" spans="1:1" x14ac:dyDescent="0.25">
      <c r="A128" s="22"/>
    </row>
    <row r="129" spans="1:1" x14ac:dyDescent="0.25">
      <c r="A129" s="22"/>
    </row>
    <row r="130" spans="1:1" x14ac:dyDescent="0.25">
      <c r="A130" s="22"/>
    </row>
    <row r="131" spans="1:1" x14ac:dyDescent="0.25">
      <c r="A131" s="22"/>
    </row>
    <row r="132" spans="1:1" x14ac:dyDescent="0.25">
      <c r="A132" s="22"/>
    </row>
    <row r="133" spans="1:1" x14ac:dyDescent="0.25">
      <c r="A133" s="22"/>
    </row>
    <row r="134" spans="1:1" x14ac:dyDescent="0.25">
      <c r="A134" s="22"/>
    </row>
    <row r="135" spans="1:1" x14ac:dyDescent="0.25">
      <c r="A135" s="22"/>
    </row>
    <row r="136" spans="1:1" x14ac:dyDescent="0.25">
      <c r="A136" s="22"/>
    </row>
    <row r="137" spans="1:1" x14ac:dyDescent="0.25">
      <c r="A137" s="22"/>
    </row>
    <row r="138" spans="1:1" x14ac:dyDescent="0.25">
      <c r="A138" s="22"/>
    </row>
    <row r="139" spans="1:1" x14ac:dyDescent="0.25">
      <c r="A139" s="22"/>
    </row>
    <row r="140" spans="1:1" x14ac:dyDescent="0.25">
      <c r="A140" s="22"/>
    </row>
    <row r="141" spans="1:1" x14ac:dyDescent="0.25">
      <c r="A141" s="22"/>
    </row>
    <row r="142" spans="1:1" x14ac:dyDescent="0.25">
      <c r="A142" s="22"/>
    </row>
    <row r="143" spans="1:1" x14ac:dyDescent="0.25">
      <c r="A143" s="22"/>
    </row>
    <row r="144" spans="1:1" x14ac:dyDescent="0.25">
      <c r="A144" s="22"/>
    </row>
    <row r="145" spans="1:1" x14ac:dyDescent="0.25">
      <c r="A145" s="22"/>
    </row>
    <row r="146" spans="1:1" x14ac:dyDescent="0.25">
      <c r="A146" s="22"/>
    </row>
    <row r="147" spans="1:1" x14ac:dyDescent="0.25">
      <c r="A147" s="22"/>
    </row>
    <row r="148" spans="1:1" x14ac:dyDescent="0.25">
      <c r="A148" s="22"/>
    </row>
    <row r="149" spans="1:1" x14ac:dyDescent="0.25">
      <c r="A149" s="22"/>
    </row>
    <row r="150" spans="1:1" x14ac:dyDescent="0.25">
      <c r="A150" s="22"/>
    </row>
    <row r="151" spans="1:1" x14ac:dyDescent="0.25">
      <c r="A151" s="22"/>
    </row>
    <row r="152" spans="1:1" x14ac:dyDescent="0.25">
      <c r="A152" s="22"/>
    </row>
    <row r="153" spans="1:1" x14ac:dyDescent="0.25">
      <c r="A153" s="22"/>
    </row>
    <row r="154" spans="1:1" x14ac:dyDescent="0.25">
      <c r="A154" s="22"/>
    </row>
    <row r="155" spans="1:1" x14ac:dyDescent="0.25">
      <c r="A155" s="22"/>
    </row>
    <row r="156" spans="1:1" x14ac:dyDescent="0.25">
      <c r="A156" s="22"/>
    </row>
    <row r="157" spans="1:1" x14ac:dyDescent="0.25">
      <c r="A157" s="22"/>
    </row>
    <row r="158" spans="1:1" x14ac:dyDescent="0.25">
      <c r="A158" s="22"/>
    </row>
    <row r="159" spans="1:1" x14ac:dyDescent="0.25">
      <c r="A159" s="22"/>
    </row>
    <row r="160" spans="1:1" x14ac:dyDescent="0.25">
      <c r="A160" s="22"/>
    </row>
    <row r="161" spans="1:1" x14ac:dyDescent="0.25">
      <c r="A161" s="22"/>
    </row>
    <row r="162" spans="1:1" x14ac:dyDescent="0.25">
      <c r="A162" s="22"/>
    </row>
    <row r="163" spans="1:1" x14ac:dyDescent="0.25">
      <c r="A163" s="22"/>
    </row>
    <row r="164" spans="1:1" x14ac:dyDescent="0.25">
      <c r="A164" s="22"/>
    </row>
    <row r="165" spans="1:1" x14ac:dyDescent="0.25">
      <c r="A165" s="22"/>
    </row>
    <row r="166" spans="1:1" x14ac:dyDescent="0.25">
      <c r="A166" s="22"/>
    </row>
    <row r="167" spans="1:1" x14ac:dyDescent="0.25">
      <c r="A167" s="22"/>
    </row>
    <row r="168" spans="1:1" x14ac:dyDescent="0.25">
      <c r="A168" s="22"/>
    </row>
    <row r="169" spans="1:1" x14ac:dyDescent="0.25">
      <c r="A169" s="22"/>
    </row>
    <row r="170" spans="1:1" x14ac:dyDescent="0.25">
      <c r="A170" s="22"/>
    </row>
    <row r="171" spans="1:1" x14ac:dyDescent="0.25">
      <c r="A171" s="22"/>
    </row>
    <row r="172" spans="1:1" x14ac:dyDescent="0.25">
      <c r="A172" s="22"/>
    </row>
    <row r="173" spans="1:1" x14ac:dyDescent="0.25">
      <c r="A173" s="22"/>
    </row>
    <row r="174" spans="1:1" x14ac:dyDescent="0.25">
      <c r="A174" s="22"/>
    </row>
    <row r="175" spans="1:1" x14ac:dyDescent="0.25">
      <c r="A175" s="22"/>
    </row>
    <row r="176" spans="1:1" x14ac:dyDescent="0.25">
      <c r="A176" s="22"/>
    </row>
    <row r="177" spans="1:1" x14ac:dyDescent="0.25">
      <c r="A177" s="22"/>
    </row>
    <row r="178" spans="1:1" x14ac:dyDescent="0.25">
      <c r="A178" s="22"/>
    </row>
    <row r="179" spans="1:1" x14ac:dyDescent="0.25">
      <c r="A179" s="22"/>
    </row>
    <row r="180" spans="1:1" x14ac:dyDescent="0.25">
      <c r="A180" s="22"/>
    </row>
    <row r="181" spans="1:1" x14ac:dyDescent="0.25">
      <c r="A181" s="22"/>
    </row>
    <row r="182" spans="1:1" x14ac:dyDescent="0.25">
      <c r="A182" s="22"/>
    </row>
    <row r="183" spans="1:1" x14ac:dyDescent="0.25">
      <c r="A183" s="22"/>
    </row>
    <row r="184" spans="1:1" x14ac:dyDescent="0.25">
      <c r="A184" s="22"/>
    </row>
    <row r="185" spans="1:1" x14ac:dyDescent="0.25">
      <c r="A185" s="22"/>
    </row>
    <row r="186" spans="1:1" x14ac:dyDescent="0.25">
      <c r="A186" s="22"/>
    </row>
    <row r="187" spans="1:1" x14ac:dyDescent="0.25">
      <c r="A187" s="22"/>
    </row>
    <row r="188" spans="1:1" x14ac:dyDescent="0.25">
      <c r="A188" s="22"/>
    </row>
    <row r="189" spans="1:1" x14ac:dyDescent="0.25">
      <c r="A189" s="22"/>
    </row>
    <row r="190" spans="1:1" x14ac:dyDescent="0.25">
      <c r="A190" s="22"/>
    </row>
    <row r="191" spans="1:1" x14ac:dyDescent="0.25">
      <c r="A191" s="22"/>
    </row>
    <row r="192" spans="1:1" x14ac:dyDescent="0.25">
      <c r="A192" s="22"/>
    </row>
    <row r="193" spans="1:1" x14ac:dyDescent="0.25">
      <c r="A193" s="22"/>
    </row>
    <row r="194" spans="1:1" x14ac:dyDescent="0.25">
      <c r="A194" s="22"/>
    </row>
    <row r="195" spans="1:1" x14ac:dyDescent="0.25">
      <c r="A195" s="22"/>
    </row>
    <row r="196" spans="1:1" x14ac:dyDescent="0.25">
      <c r="A196" s="22"/>
    </row>
    <row r="197" spans="1:1" x14ac:dyDescent="0.25">
      <c r="A197" s="22"/>
    </row>
    <row r="198" spans="1:1" x14ac:dyDescent="0.25">
      <c r="A198" s="22"/>
    </row>
    <row r="199" spans="1:1" x14ac:dyDescent="0.25">
      <c r="A199" s="22"/>
    </row>
    <row r="200" spans="1:1" x14ac:dyDescent="0.25">
      <c r="A200" s="22"/>
    </row>
    <row r="201" spans="1:1" x14ac:dyDescent="0.25">
      <c r="A201" s="22"/>
    </row>
    <row r="202" spans="1:1" x14ac:dyDescent="0.25">
      <c r="A202" s="22"/>
    </row>
    <row r="203" spans="1:1" x14ac:dyDescent="0.25">
      <c r="A203" s="22"/>
    </row>
    <row r="204" spans="1:1" x14ac:dyDescent="0.25">
      <c r="A204" s="22"/>
    </row>
    <row r="205" spans="1:1" x14ac:dyDescent="0.25">
      <c r="A205" s="22"/>
    </row>
    <row r="206" spans="1:1" x14ac:dyDescent="0.25">
      <c r="A206" s="22"/>
    </row>
    <row r="207" spans="1:1" x14ac:dyDescent="0.25">
      <c r="A207" s="22"/>
    </row>
    <row r="208" spans="1:1" x14ac:dyDescent="0.25">
      <c r="A208" s="22"/>
    </row>
    <row r="209" spans="1:1" x14ac:dyDescent="0.25">
      <c r="A209" s="22"/>
    </row>
    <row r="210" spans="1:1" x14ac:dyDescent="0.25">
      <c r="A210" s="22"/>
    </row>
    <row r="211" spans="1:1" x14ac:dyDescent="0.25">
      <c r="A211" s="22"/>
    </row>
  </sheetData>
  <hyperlinks>
    <hyperlink ref="F15" r:id="rId1" xr:uid="{ECDB3758-1345-4504-82CC-1B4CD8EAE1DE}"/>
    <hyperlink ref="F16" r:id="rId2" display="https://binusianorg.sharepoint.com/sites/BinusJurnal/Binus Jurnal/Binus Jurnal Publishing/26/LINGUA CULTURA/APC/21.1/LC_15568_APC.jpg?d=w991c0b355c3f43b18763a88bf6270206&amp;csf=1&amp;web=1&amp;e=a4HMRQ" xr:uid="{439E00C6-DDC1-4ADE-B96B-7B7972DEEE82}"/>
    <hyperlink ref="F17" r:id="rId3" display="https://binusianorg.sharepoint.com/sites/BinusJurnal/Binus Jurnal/Binus Jurnal Publishing/26/HUMANIORA/APC/18.2/14935/HM_14935_APC.pdf?d=w1d7cc9105cd14da4b9a5631ac97c6fd3&amp;csf=1&amp;web=1&amp;e=F36RJM" xr:uid="{F188D903-9F92-49A5-93BD-15BD0AC691EB}"/>
    <hyperlink ref="F18" r:id="rId4" display="https://binusianorg.sharepoint.com/sites/BinusJurnal/Binus Jurnal/Binus Jurnal Publishing/26/HUMANIORA/APC/18.2/14518/HM_14518_APC.jpeg?d=wff71e63a9065424e86b53eb86c91013e&amp;csf=1&amp;web=1&amp;e=VFkfQy" xr:uid="{13C26024-1356-4790-9888-40BE69EFDCE4}"/>
    <hyperlink ref="F19" r:id="rId5" display="https://binusianorg.sharepoint.com/sites/BinusJurnal/Binus Jurnal/Binus Jurnal Publishing/26/HUMANIORA/APC/18.2/14507/HM_14507_APC.jpeg?d=w93e68609f91c43deae8c1126db191e5a&amp;csf=1&amp;web=1&amp;e=HXAp0b" xr:uid="{4E6CDB3E-4E62-4DFF-8F32-0046DBB2F6AF}"/>
    <hyperlink ref="F20" r:id="rId6" display="https://binusianorg.sharepoint.com/sites/BinusJurnal/Binus Jurnal/Binus Jurnal Publishing/26/HUMANIORA/APC/18.2/15423/HM_15423_APC.jpeg?d=w0b21d149fd8849b3b0be20ed3d650645&amp;csf=1&amp;web=1&amp;e=8QBR91" xr:uid="{809BF029-EEE2-405E-B231-CB2386164AD6}"/>
    <hyperlink ref="F21" r:id="rId7" display="https://binusianorg.sharepoint.com/sites/BinusJurnal/Binus Jurnal/Binus Jurnal Publishing/26/HUMANIORA/APC/18.2/14604/HM_14604_APC.jpeg?d=wc056c15aaf014b4db918f2378bf88bb8&amp;csf=1&amp;web=1&amp;e=9juptf" xr:uid="{526ACB7B-5071-451B-8BA5-3CE67A77304A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/>
  </sheetViews>
  <sheetFormatPr defaultColWidth="8.85546875" defaultRowHeight="15" x14ac:dyDescent="0.25"/>
  <cols>
    <col min="1" max="1" width="44" customWidth="1"/>
    <col min="2" max="2" width="16" customWidth="1"/>
    <col min="3" max="3" width="48" customWidth="1"/>
    <col min="4" max="5" width="16" customWidth="1"/>
    <col min="6" max="6" width="18" customWidth="1"/>
  </cols>
  <sheetData>
    <row r="1" spans="1:6" ht="18.75" x14ac:dyDescent="0.3">
      <c r="A1" s="11" t="s">
        <v>75</v>
      </c>
    </row>
    <row r="2" spans="1:6" x14ac:dyDescent="0.25">
      <c r="A2" s="12" t="s">
        <v>76</v>
      </c>
    </row>
    <row r="4" spans="1:6" x14ac:dyDescent="0.25">
      <c r="A4" s="13" t="s">
        <v>46</v>
      </c>
      <c r="B4" s="14">
        <v>0</v>
      </c>
      <c r="C4" s="15" t="s">
        <v>47</v>
      </c>
    </row>
    <row r="5" spans="1:6" x14ac:dyDescent="0.25">
      <c r="A5" s="13" t="s">
        <v>48</v>
      </c>
      <c r="B5" s="16">
        <v>0</v>
      </c>
      <c r="C5" s="15" t="s">
        <v>49</v>
      </c>
    </row>
    <row r="7" spans="1:6" x14ac:dyDescent="0.25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</row>
    <row r="8" spans="1:6" ht="39.950000000000003" customHeight="1" x14ac:dyDescent="0.25">
      <c r="A8" s="17" t="s">
        <v>77</v>
      </c>
      <c r="B8" s="17" t="s">
        <v>78</v>
      </c>
      <c r="C8" s="17" t="s">
        <v>79</v>
      </c>
      <c r="D8" s="17" t="s">
        <v>80</v>
      </c>
      <c r="E8" s="17" t="s">
        <v>81</v>
      </c>
      <c r="F8" s="17" t="s">
        <v>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11"/>
  <sheetViews>
    <sheetView workbookViewId="0"/>
  </sheetViews>
  <sheetFormatPr defaultColWidth="8.85546875" defaultRowHeight="15" x14ac:dyDescent="0.25"/>
  <cols>
    <col min="1" max="1" width="50" customWidth="1"/>
    <col min="2" max="2" width="19" customWidth="1"/>
    <col min="3" max="3" width="50" customWidth="1"/>
    <col min="4" max="5" width="16" customWidth="1"/>
    <col min="6" max="6" width="17" customWidth="1"/>
    <col min="7" max="7" width="6.85546875" bestFit="1" customWidth="1"/>
    <col min="8" max="8" width="13.7109375" bestFit="1" customWidth="1"/>
  </cols>
  <sheetData>
    <row r="1" spans="1:10" ht="18.75" x14ac:dyDescent="0.3">
      <c r="A1" s="11" t="s">
        <v>83</v>
      </c>
    </row>
    <row r="2" spans="1:10" x14ac:dyDescent="0.25">
      <c r="A2" s="12" t="s">
        <v>84</v>
      </c>
    </row>
    <row r="4" spans="1:10" x14ac:dyDescent="0.25">
      <c r="A4" s="13" t="s">
        <v>46</v>
      </c>
      <c r="B4" s="14">
        <f>COUNTA(A12:A200)</f>
        <v>0</v>
      </c>
      <c r="C4" s="15" t="s">
        <v>85</v>
      </c>
    </row>
    <row r="5" spans="1:10" x14ac:dyDescent="0.25">
      <c r="A5" s="13" t="s">
        <v>48</v>
      </c>
      <c r="B5" s="16">
        <v>0</v>
      </c>
      <c r="C5" s="15" t="s">
        <v>49</v>
      </c>
    </row>
    <row r="7" spans="1:10" x14ac:dyDescent="0.25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</row>
    <row r="8" spans="1:10" ht="39.950000000000003" customHeight="1" x14ac:dyDescent="0.25">
      <c r="A8" s="17" t="s">
        <v>86</v>
      </c>
      <c r="B8" s="17" t="s">
        <v>87</v>
      </c>
      <c r="C8" s="17" t="s">
        <v>88</v>
      </c>
      <c r="D8" s="17" t="s">
        <v>89</v>
      </c>
      <c r="E8" s="17" t="s">
        <v>90</v>
      </c>
      <c r="F8" s="17" t="s">
        <v>91</v>
      </c>
    </row>
    <row r="10" spans="1:10" x14ac:dyDescent="0.25">
      <c r="A10" s="19" t="s">
        <v>63</v>
      </c>
    </row>
    <row r="11" spans="1:10" x14ac:dyDescent="0.25">
      <c r="A11" s="4" t="s">
        <v>14</v>
      </c>
      <c r="B11" s="4" t="s">
        <v>92</v>
      </c>
      <c r="C11" s="4" t="s">
        <v>93</v>
      </c>
      <c r="D11" s="4" t="s">
        <v>94</v>
      </c>
      <c r="E11" s="4" t="s">
        <v>95</v>
      </c>
      <c r="F11" s="4" t="s">
        <v>96</v>
      </c>
      <c r="G11" s="4" t="s">
        <v>97</v>
      </c>
      <c r="H11" s="4" t="s">
        <v>98</v>
      </c>
      <c r="I11" s="4" t="s">
        <v>99</v>
      </c>
      <c r="J11" s="4" t="s">
        <v>69</v>
      </c>
    </row>
    <row r="12" spans="1:10" x14ac:dyDescent="0.25">
      <c r="A12" s="22"/>
    </row>
    <row r="13" spans="1:10" x14ac:dyDescent="0.25">
      <c r="A13" s="22"/>
    </row>
    <row r="14" spans="1:10" x14ac:dyDescent="0.25">
      <c r="A14" s="22"/>
    </row>
    <row r="15" spans="1:10" x14ac:dyDescent="0.25">
      <c r="A15" s="22"/>
    </row>
    <row r="16" spans="1:10" x14ac:dyDescent="0.25">
      <c r="A16" s="22"/>
    </row>
    <row r="17" spans="1:1" x14ac:dyDescent="0.25">
      <c r="A17" s="22"/>
    </row>
    <row r="18" spans="1:1" x14ac:dyDescent="0.25">
      <c r="A18" s="22"/>
    </row>
    <row r="19" spans="1:1" x14ac:dyDescent="0.25">
      <c r="A19" s="22"/>
    </row>
    <row r="20" spans="1:1" x14ac:dyDescent="0.25">
      <c r="A20" s="22"/>
    </row>
    <row r="21" spans="1:1" x14ac:dyDescent="0.25">
      <c r="A21" s="22"/>
    </row>
    <row r="22" spans="1:1" x14ac:dyDescent="0.25">
      <c r="A22" s="22"/>
    </row>
    <row r="23" spans="1:1" x14ac:dyDescent="0.25">
      <c r="A23" s="22"/>
    </row>
    <row r="24" spans="1:1" x14ac:dyDescent="0.25">
      <c r="A24" s="22"/>
    </row>
    <row r="25" spans="1:1" x14ac:dyDescent="0.25">
      <c r="A25" s="22"/>
    </row>
    <row r="26" spans="1:1" x14ac:dyDescent="0.25">
      <c r="A26" s="22"/>
    </row>
    <row r="27" spans="1:1" x14ac:dyDescent="0.25">
      <c r="A27" s="22"/>
    </row>
    <row r="28" spans="1:1" x14ac:dyDescent="0.25">
      <c r="A28" s="22"/>
    </row>
    <row r="29" spans="1:1" x14ac:dyDescent="0.25">
      <c r="A29" s="22"/>
    </row>
    <row r="30" spans="1:1" x14ac:dyDescent="0.25">
      <c r="A30" s="22"/>
    </row>
    <row r="31" spans="1:1" x14ac:dyDescent="0.25">
      <c r="A31" s="22"/>
    </row>
    <row r="32" spans="1:1" x14ac:dyDescent="0.25">
      <c r="A32" s="22"/>
    </row>
    <row r="33" spans="1:1" x14ac:dyDescent="0.25">
      <c r="A33" s="22"/>
    </row>
    <row r="34" spans="1:1" x14ac:dyDescent="0.25">
      <c r="A34" s="22"/>
    </row>
    <row r="35" spans="1:1" x14ac:dyDescent="0.25">
      <c r="A35" s="22"/>
    </row>
    <row r="36" spans="1:1" x14ac:dyDescent="0.25">
      <c r="A36" s="22"/>
    </row>
    <row r="37" spans="1:1" x14ac:dyDescent="0.25">
      <c r="A37" s="22"/>
    </row>
    <row r="38" spans="1:1" x14ac:dyDescent="0.25">
      <c r="A38" s="22"/>
    </row>
    <row r="39" spans="1:1" x14ac:dyDescent="0.25">
      <c r="A39" s="22"/>
    </row>
    <row r="40" spans="1:1" x14ac:dyDescent="0.25">
      <c r="A40" s="22"/>
    </row>
    <row r="41" spans="1:1" x14ac:dyDescent="0.25">
      <c r="A41" s="22"/>
    </row>
    <row r="42" spans="1:1" x14ac:dyDescent="0.25">
      <c r="A42" s="22"/>
    </row>
    <row r="43" spans="1:1" x14ac:dyDescent="0.25">
      <c r="A43" s="22"/>
    </row>
    <row r="44" spans="1:1" x14ac:dyDescent="0.25">
      <c r="A44" s="22"/>
    </row>
    <row r="45" spans="1:1" x14ac:dyDescent="0.25">
      <c r="A45" s="22"/>
    </row>
    <row r="46" spans="1:1" x14ac:dyDescent="0.25">
      <c r="A46" s="22"/>
    </row>
    <row r="47" spans="1:1" x14ac:dyDescent="0.25">
      <c r="A47" s="22"/>
    </row>
    <row r="48" spans="1:1" x14ac:dyDescent="0.25">
      <c r="A48" s="22"/>
    </row>
    <row r="49" spans="1:1" x14ac:dyDescent="0.25">
      <c r="A49" s="22"/>
    </row>
    <row r="50" spans="1:1" x14ac:dyDescent="0.25">
      <c r="A50" s="22"/>
    </row>
    <row r="51" spans="1:1" x14ac:dyDescent="0.25">
      <c r="A51" s="22"/>
    </row>
    <row r="52" spans="1:1" x14ac:dyDescent="0.25">
      <c r="A52" s="22"/>
    </row>
    <row r="53" spans="1:1" x14ac:dyDescent="0.25">
      <c r="A53" s="22"/>
    </row>
    <row r="54" spans="1:1" x14ac:dyDescent="0.25">
      <c r="A54" s="22"/>
    </row>
    <row r="55" spans="1:1" x14ac:dyDescent="0.25">
      <c r="A55" s="22"/>
    </row>
    <row r="56" spans="1:1" x14ac:dyDescent="0.25">
      <c r="A56" s="22"/>
    </row>
    <row r="57" spans="1:1" x14ac:dyDescent="0.25">
      <c r="A57" s="22"/>
    </row>
    <row r="58" spans="1:1" x14ac:dyDescent="0.25">
      <c r="A58" s="22"/>
    </row>
    <row r="59" spans="1:1" x14ac:dyDescent="0.25">
      <c r="A59" s="22"/>
    </row>
    <row r="60" spans="1:1" x14ac:dyDescent="0.25">
      <c r="A60" s="22"/>
    </row>
    <row r="61" spans="1:1" x14ac:dyDescent="0.25">
      <c r="A61" s="22"/>
    </row>
    <row r="62" spans="1:1" x14ac:dyDescent="0.25">
      <c r="A62" s="22"/>
    </row>
    <row r="63" spans="1:1" x14ac:dyDescent="0.25">
      <c r="A63" s="22"/>
    </row>
    <row r="64" spans="1:1" x14ac:dyDescent="0.25">
      <c r="A64" s="22"/>
    </row>
    <row r="65" spans="1:1" x14ac:dyDescent="0.25">
      <c r="A65" s="22"/>
    </row>
    <row r="66" spans="1:1" x14ac:dyDescent="0.25">
      <c r="A66" s="22"/>
    </row>
    <row r="67" spans="1:1" x14ac:dyDescent="0.25">
      <c r="A67" s="22"/>
    </row>
    <row r="68" spans="1:1" x14ac:dyDescent="0.25">
      <c r="A68" s="22"/>
    </row>
    <row r="69" spans="1:1" x14ac:dyDescent="0.25">
      <c r="A69" s="22"/>
    </row>
    <row r="70" spans="1:1" x14ac:dyDescent="0.25">
      <c r="A70" s="22"/>
    </row>
    <row r="71" spans="1:1" x14ac:dyDescent="0.25">
      <c r="A71" s="22"/>
    </row>
    <row r="72" spans="1:1" x14ac:dyDescent="0.25">
      <c r="A72" s="22"/>
    </row>
    <row r="73" spans="1:1" x14ac:dyDescent="0.25">
      <c r="A73" s="22"/>
    </row>
    <row r="74" spans="1:1" x14ac:dyDescent="0.25">
      <c r="A74" s="22"/>
    </row>
    <row r="75" spans="1:1" x14ac:dyDescent="0.25">
      <c r="A75" s="22"/>
    </row>
    <row r="76" spans="1:1" x14ac:dyDescent="0.25">
      <c r="A76" s="22"/>
    </row>
    <row r="77" spans="1:1" x14ac:dyDescent="0.25">
      <c r="A77" s="22"/>
    </row>
    <row r="78" spans="1:1" x14ac:dyDescent="0.25">
      <c r="A78" s="22"/>
    </row>
    <row r="79" spans="1:1" x14ac:dyDescent="0.25">
      <c r="A79" s="22"/>
    </row>
    <row r="80" spans="1:1" x14ac:dyDescent="0.25">
      <c r="A80" s="22"/>
    </row>
    <row r="81" spans="1:1" x14ac:dyDescent="0.25">
      <c r="A81" s="22"/>
    </row>
    <row r="82" spans="1:1" x14ac:dyDescent="0.25">
      <c r="A82" s="22"/>
    </row>
    <row r="83" spans="1:1" x14ac:dyDescent="0.25">
      <c r="A83" s="22"/>
    </row>
    <row r="84" spans="1:1" x14ac:dyDescent="0.25">
      <c r="A84" s="22"/>
    </row>
    <row r="85" spans="1:1" x14ac:dyDescent="0.25">
      <c r="A85" s="22"/>
    </row>
    <row r="86" spans="1:1" x14ac:dyDescent="0.25">
      <c r="A86" s="22"/>
    </row>
    <row r="87" spans="1:1" x14ac:dyDescent="0.25">
      <c r="A87" s="22"/>
    </row>
    <row r="88" spans="1:1" x14ac:dyDescent="0.25">
      <c r="A88" s="22"/>
    </row>
    <row r="89" spans="1:1" x14ac:dyDescent="0.25">
      <c r="A89" s="22"/>
    </row>
    <row r="90" spans="1:1" x14ac:dyDescent="0.25">
      <c r="A90" s="22"/>
    </row>
    <row r="91" spans="1:1" x14ac:dyDescent="0.25">
      <c r="A91" s="22"/>
    </row>
    <row r="92" spans="1:1" x14ac:dyDescent="0.25">
      <c r="A92" s="22"/>
    </row>
    <row r="93" spans="1:1" x14ac:dyDescent="0.25">
      <c r="A93" s="22"/>
    </row>
    <row r="94" spans="1:1" x14ac:dyDescent="0.25">
      <c r="A94" s="22"/>
    </row>
    <row r="95" spans="1:1" x14ac:dyDescent="0.25">
      <c r="A95" s="22"/>
    </row>
    <row r="96" spans="1:1" x14ac:dyDescent="0.25">
      <c r="A96" s="22"/>
    </row>
    <row r="97" spans="1:1" x14ac:dyDescent="0.25">
      <c r="A97" s="22"/>
    </row>
    <row r="98" spans="1:1" x14ac:dyDescent="0.25">
      <c r="A98" s="22"/>
    </row>
    <row r="99" spans="1:1" x14ac:dyDescent="0.25">
      <c r="A99" s="22"/>
    </row>
    <row r="100" spans="1:1" x14ac:dyDescent="0.25">
      <c r="A100" s="22"/>
    </row>
    <row r="101" spans="1:1" x14ac:dyDescent="0.25">
      <c r="A101" s="22"/>
    </row>
    <row r="102" spans="1:1" x14ac:dyDescent="0.25">
      <c r="A102" s="22"/>
    </row>
    <row r="103" spans="1:1" x14ac:dyDescent="0.25">
      <c r="A103" s="22"/>
    </row>
    <row r="104" spans="1:1" x14ac:dyDescent="0.25">
      <c r="A104" s="22"/>
    </row>
    <row r="105" spans="1:1" x14ac:dyDescent="0.25">
      <c r="A105" s="22"/>
    </row>
    <row r="106" spans="1:1" x14ac:dyDescent="0.25">
      <c r="A106" s="22"/>
    </row>
    <row r="107" spans="1:1" x14ac:dyDescent="0.25">
      <c r="A107" s="22"/>
    </row>
    <row r="108" spans="1:1" x14ac:dyDescent="0.25">
      <c r="A108" s="22"/>
    </row>
    <row r="109" spans="1:1" x14ac:dyDescent="0.25">
      <c r="A109" s="22"/>
    </row>
    <row r="110" spans="1:1" x14ac:dyDescent="0.25">
      <c r="A110" s="22"/>
    </row>
    <row r="111" spans="1:1" x14ac:dyDescent="0.25">
      <c r="A111" s="22"/>
    </row>
    <row r="112" spans="1:1" x14ac:dyDescent="0.25">
      <c r="A112" s="22"/>
    </row>
    <row r="113" spans="1:1" x14ac:dyDescent="0.25">
      <c r="A113" s="22"/>
    </row>
    <row r="114" spans="1:1" x14ac:dyDescent="0.25">
      <c r="A114" s="22"/>
    </row>
    <row r="115" spans="1:1" x14ac:dyDescent="0.25">
      <c r="A115" s="22"/>
    </row>
    <row r="116" spans="1:1" x14ac:dyDescent="0.25">
      <c r="A116" s="22"/>
    </row>
    <row r="117" spans="1:1" x14ac:dyDescent="0.25">
      <c r="A117" s="22"/>
    </row>
    <row r="118" spans="1:1" x14ac:dyDescent="0.25">
      <c r="A118" s="22"/>
    </row>
    <row r="119" spans="1:1" x14ac:dyDescent="0.25">
      <c r="A119" s="22"/>
    </row>
    <row r="120" spans="1:1" x14ac:dyDescent="0.25">
      <c r="A120" s="22"/>
    </row>
    <row r="121" spans="1:1" x14ac:dyDescent="0.25">
      <c r="A121" s="22"/>
    </row>
    <row r="122" spans="1:1" x14ac:dyDescent="0.25">
      <c r="A122" s="22"/>
    </row>
    <row r="123" spans="1:1" x14ac:dyDescent="0.25">
      <c r="A123" s="22"/>
    </row>
    <row r="124" spans="1:1" x14ac:dyDescent="0.25">
      <c r="A124" s="22"/>
    </row>
    <row r="125" spans="1:1" x14ac:dyDescent="0.25">
      <c r="A125" s="22"/>
    </row>
    <row r="126" spans="1:1" x14ac:dyDescent="0.25">
      <c r="A126" s="22"/>
    </row>
    <row r="127" spans="1:1" x14ac:dyDescent="0.25">
      <c r="A127" s="22"/>
    </row>
    <row r="128" spans="1:1" x14ac:dyDescent="0.25">
      <c r="A128" s="22"/>
    </row>
    <row r="129" spans="1:1" x14ac:dyDescent="0.25">
      <c r="A129" s="22"/>
    </row>
    <row r="130" spans="1:1" x14ac:dyDescent="0.25">
      <c r="A130" s="22"/>
    </row>
    <row r="131" spans="1:1" x14ac:dyDescent="0.25">
      <c r="A131" s="22"/>
    </row>
    <row r="132" spans="1:1" x14ac:dyDescent="0.25">
      <c r="A132" s="22"/>
    </row>
    <row r="133" spans="1:1" x14ac:dyDescent="0.25">
      <c r="A133" s="22"/>
    </row>
    <row r="134" spans="1:1" x14ac:dyDescent="0.25">
      <c r="A134" s="22"/>
    </row>
    <row r="135" spans="1:1" x14ac:dyDescent="0.25">
      <c r="A135" s="22"/>
    </row>
    <row r="136" spans="1:1" x14ac:dyDescent="0.25">
      <c r="A136" s="22"/>
    </row>
    <row r="137" spans="1:1" x14ac:dyDescent="0.25">
      <c r="A137" s="22"/>
    </row>
    <row r="138" spans="1:1" x14ac:dyDescent="0.25">
      <c r="A138" s="22"/>
    </row>
    <row r="139" spans="1:1" x14ac:dyDescent="0.25">
      <c r="A139" s="22"/>
    </row>
    <row r="140" spans="1:1" x14ac:dyDescent="0.25">
      <c r="A140" s="22"/>
    </row>
    <row r="141" spans="1:1" x14ac:dyDescent="0.25">
      <c r="A141" s="22"/>
    </row>
    <row r="142" spans="1:1" x14ac:dyDescent="0.25">
      <c r="A142" s="22"/>
    </row>
    <row r="143" spans="1:1" x14ac:dyDescent="0.25">
      <c r="A143" s="22"/>
    </row>
    <row r="144" spans="1:1" x14ac:dyDescent="0.25">
      <c r="A144" s="22"/>
    </row>
    <row r="145" spans="1:1" x14ac:dyDescent="0.25">
      <c r="A145" s="22"/>
    </row>
    <row r="146" spans="1:1" x14ac:dyDescent="0.25">
      <c r="A146" s="22"/>
    </row>
    <row r="147" spans="1:1" x14ac:dyDescent="0.25">
      <c r="A147" s="22"/>
    </row>
    <row r="148" spans="1:1" x14ac:dyDescent="0.25">
      <c r="A148" s="22"/>
    </row>
    <row r="149" spans="1:1" x14ac:dyDescent="0.25">
      <c r="A149" s="22"/>
    </row>
    <row r="150" spans="1:1" x14ac:dyDescent="0.25">
      <c r="A150" s="22"/>
    </row>
    <row r="151" spans="1:1" x14ac:dyDescent="0.25">
      <c r="A151" s="22"/>
    </row>
    <row r="152" spans="1:1" x14ac:dyDescent="0.25">
      <c r="A152" s="22"/>
    </row>
    <row r="153" spans="1:1" x14ac:dyDescent="0.25">
      <c r="A153" s="22"/>
    </row>
    <row r="154" spans="1:1" x14ac:dyDescent="0.25">
      <c r="A154" s="22"/>
    </row>
    <row r="155" spans="1:1" x14ac:dyDescent="0.25">
      <c r="A155" s="22"/>
    </row>
    <row r="156" spans="1:1" x14ac:dyDescent="0.25">
      <c r="A156" s="22"/>
    </row>
    <row r="157" spans="1:1" x14ac:dyDescent="0.25">
      <c r="A157" s="22"/>
    </row>
    <row r="158" spans="1:1" x14ac:dyDescent="0.25">
      <c r="A158" s="22"/>
    </row>
    <row r="159" spans="1:1" x14ac:dyDescent="0.25">
      <c r="A159" s="22"/>
    </row>
    <row r="160" spans="1:1" x14ac:dyDescent="0.25">
      <c r="A160" s="22"/>
    </row>
    <row r="161" spans="1:1" x14ac:dyDescent="0.25">
      <c r="A161" s="22"/>
    </row>
    <row r="162" spans="1:1" x14ac:dyDescent="0.25">
      <c r="A162" s="22"/>
    </row>
    <row r="163" spans="1:1" x14ac:dyDescent="0.25">
      <c r="A163" s="22"/>
    </row>
    <row r="164" spans="1:1" x14ac:dyDescent="0.25">
      <c r="A164" s="22"/>
    </row>
    <row r="165" spans="1:1" x14ac:dyDescent="0.25">
      <c r="A165" s="22"/>
    </row>
    <row r="166" spans="1:1" x14ac:dyDescent="0.25">
      <c r="A166" s="22"/>
    </row>
    <row r="167" spans="1:1" x14ac:dyDescent="0.25">
      <c r="A167" s="22"/>
    </row>
    <row r="168" spans="1:1" x14ac:dyDescent="0.25">
      <c r="A168" s="22"/>
    </row>
    <row r="169" spans="1:1" x14ac:dyDescent="0.25">
      <c r="A169" s="22"/>
    </row>
    <row r="170" spans="1:1" x14ac:dyDescent="0.25">
      <c r="A170" s="22"/>
    </row>
    <row r="171" spans="1:1" x14ac:dyDescent="0.25">
      <c r="A171" s="22"/>
    </row>
    <row r="172" spans="1:1" x14ac:dyDescent="0.25">
      <c r="A172" s="22"/>
    </row>
    <row r="173" spans="1:1" x14ac:dyDescent="0.25">
      <c r="A173" s="22"/>
    </row>
    <row r="174" spans="1:1" x14ac:dyDescent="0.25">
      <c r="A174" s="22"/>
    </row>
    <row r="175" spans="1:1" x14ac:dyDescent="0.25">
      <c r="A175" s="22"/>
    </row>
    <row r="176" spans="1:1" x14ac:dyDescent="0.25">
      <c r="A176" s="22"/>
    </row>
    <row r="177" spans="1:1" x14ac:dyDescent="0.25">
      <c r="A177" s="22"/>
    </row>
    <row r="178" spans="1:1" x14ac:dyDescent="0.25">
      <c r="A178" s="22"/>
    </row>
    <row r="179" spans="1:1" x14ac:dyDescent="0.25">
      <c r="A179" s="22"/>
    </row>
    <row r="180" spans="1:1" x14ac:dyDescent="0.25">
      <c r="A180" s="22"/>
    </row>
    <row r="181" spans="1:1" x14ac:dyDescent="0.25">
      <c r="A181" s="22"/>
    </row>
    <row r="182" spans="1:1" x14ac:dyDescent="0.25">
      <c r="A182" s="22"/>
    </row>
    <row r="183" spans="1:1" x14ac:dyDescent="0.25">
      <c r="A183" s="22"/>
    </row>
    <row r="184" spans="1:1" x14ac:dyDescent="0.25">
      <c r="A184" s="22"/>
    </row>
    <row r="185" spans="1:1" x14ac:dyDescent="0.25">
      <c r="A185" s="22"/>
    </row>
    <row r="186" spans="1:1" x14ac:dyDescent="0.25">
      <c r="A186" s="22"/>
    </row>
    <row r="187" spans="1:1" x14ac:dyDescent="0.25">
      <c r="A187" s="22"/>
    </row>
    <row r="188" spans="1:1" x14ac:dyDescent="0.25">
      <c r="A188" s="22"/>
    </row>
    <row r="189" spans="1:1" x14ac:dyDescent="0.25">
      <c r="A189" s="22"/>
    </row>
    <row r="190" spans="1:1" x14ac:dyDescent="0.25">
      <c r="A190" s="22"/>
    </row>
    <row r="191" spans="1:1" x14ac:dyDescent="0.25">
      <c r="A191" s="22"/>
    </row>
    <row r="192" spans="1:1" x14ac:dyDescent="0.25">
      <c r="A192" s="22"/>
    </row>
    <row r="193" spans="1:1" x14ac:dyDescent="0.25">
      <c r="A193" s="22"/>
    </row>
    <row r="194" spans="1:1" x14ac:dyDescent="0.25">
      <c r="A194" s="22"/>
    </row>
    <row r="195" spans="1:1" x14ac:dyDescent="0.25">
      <c r="A195" s="22"/>
    </row>
    <row r="196" spans="1:1" x14ac:dyDescent="0.25">
      <c r="A196" s="22"/>
    </row>
    <row r="197" spans="1:1" x14ac:dyDescent="0.25">
      <c r="A197" s="22"/>
    </row>
    <row r="198" spans="1:1" x14ac:dyDescent="0.25">
      <c r="A198" s="22"/>
    </row>
    <row r="199" spans="1:1" x14ac:dyDescent="0.25">
      <c r="A199" s="22"/>
    </row>
    <row r="200" spans="1:1" x14ac:dyDescent="0.25">
      <c r="A200" s="22"/>
    </row>
    <row r="201" spans="1:1" x14ac:dyDescent="0.25">
      <c r="A201" s="22"/>
    </row>
    <row r="202" spans="1:1" x14ac:dyDescent="0.25">
      <c r="A202" s="22"/>
    </row>
    <row r="203" spans="1:1" x14ac:dyDescent="0.25">
      <c r="A203" s="22"/>
    </row>
    <row r="204" spans="1:1" x14ac:dyDescent="0.25">
      <c r="A204" s="22"/>
    </row>
    <row r="205" spans="1:1" x14ac:dyDescent="0.25">
      <c r="A205" s="22"/>
    </row>
    <row r="206" spans="1:1" x14ac:dyDescent="0.25">
      <c r="A206" s="22"/>
    </row>
    <row r="207" spans="1:1" x14ac:dyDescent="0.25">
      <c r="A207" s="22"/>
    </row>
    <row r="208" spans="1:1" x14ac:dyDescent="0.25">
      <c r="A208" s="22"/>
    </row>
    <row r="209" spans="1:1" x14ac:dyDescent="0.25">
      <c r="A209" s="22"/>
    </row>
    <row r="210" spans="1:1" x14ac:dyDescent="0.25">
      <c r="A210" s="22"/>
    </row>
    <row r="211" spans="1:1" x14ac:dyDescent="0.25">
      <c r="A211" s="22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11"/>
  <sheetViews>
    <sheetView workbookViewId="0"/>
  </sheetViews>
  <sheetFormatPr defaultColWidth="8.85546875" defaultRowHeight="15" x14ac:dyDescent="0.25"/>
  <cols>
    <col min="1" max="1" width="50" customWidth="1"/>
    <col min="2" max="2" width="25" customWidth="1"/>
    <col min="3" max="3" width="50" customWidth="1"/>
    <col min="4" max="5" width="21" customWidth="1"/>
    <col min="6" max="6" width="50" customWidth="1"/>
  </cols>
  <sheetData>
    <row r="1" spans="1:6" ht="18.75" x14ac:dyDescent="0.3">
      <c r="A1" s="11" t="s">
        <v>100</v>
      </c>
    </row>
    <row r="2" spans="1:6" x14ac:dyDescent="0.25">
      <c r="A2" s="12" t="s">
        <v>101</v>
      </c>
    </row>
    <row r="4" spans="1:6" x14ac:dyDescent="0.25">
      <c r="A4" s="13" t="s">
        <v>46</v>
      </c>
      <c r="B4" s="14">
        <f>COUNTA(A12:A200)</f>
        <v>0</v>
      </c>
      <c r="C4" s="15" t="s">
        <v>85</v>
      </c>
    </row>
    <row r="5" spans="1:6" x14ac:dyDescent="0.25">
      <c r="A5" s="13" t="s">
        <v>48</v>
      </c>
      <c r="B5" s="16">
        <v>0</v>
      </c>
      <c r="C5" s="15" t="s">
        <v>49</v>
      </c>
    </row>
    <row r="7" spans="1:6" x14ac:dyDescent="0.25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</row>
    <row r="8" spans="1:6" ht="39.950000000000003" customHeight="1" x14ac:dyDescent="0.25">
      <c r="A8" s="17" t="s">
        <v>102</v>
      </c>
      <c r="B8" s="17" t="s">
        <v>103</v>
      </c>
      <c r="C8" s="17" t="s">
        <v>104</v>
      </c>
      <c r="D8" s="17" t="s">
        <v>30</v>
      </c>
      <c r="E8" s="17" t="s">
        <v>105</v>
      </c>
      <c r="F8" s="17" t="s">
        <v>106</v>
      </c>
    </row>
    <row r="10" spans="1:6" x14ac:dyDescent="0.25">
      <c r="A10" s="19" t="s">
        <v>63</v>
      </c>
    </row>
    <row r="11" spans="1:6" x14ac:dyDescent="0.25">
      <c r="A11" s="4" t="s">
        <v>107</v>
      </c>
      <c r="B11" s="4" t="s">
        <v>108</v>
      </c>
      <c r="C11" s="4" t="s">
        <v>109</v>
      </c>
      <c r="D11" s="4" t="s">
        <v>110</v>
      </c>
      <c r="E11" s="4" t="s">
        <v>111</v>
      </c>
      <c r="F11" s="4" t="s">
        <v>69</v>
      </c>
    </row>
    <row r="12" spans="1:6" x14ac:dyDescent="0.25">
      <c r="A12" s="22"/>
    </row>
    <row r="13" spans="1:6" x14ac:dyDescent="0.25">
      <c r="A13" s="22"/>
    </row>
    <row r="14" spans="1:6" x14ac:dyDescent="0.25">
      <c r="A14" s="22"/>
    </row>
    <row r="15" spans="1:6" x14ac:dyDescent="0.25">
      <c r="A15" s="22"/>
    </row>
    <row r="16" spans="1:6" x14ac:dyDescent="0.25">
      <c r="A16" s="22"/>
    </row>
    <row r="17" spans="1:1" x14ac:dyDescent="0.25">
      <c r="A17" s="22"/>
    </row>
    <row r="18" spans="1:1" x14ac:dyDescent="0.25">
      <c r="A18" s="22"/>
    </row>
    <row r="19" spans="1:1" x14ac:dyDescent="0.25">
      <c r="A19" s="22"/>
    </row>
    <row r="20" spans="1:1" x14ac:dyDescent="0.25">
      <c r="A20" s="22"/>
    </row>
    <row r="21" spans="1:1" x14ac:dyDescent="0.25">
      <c r="A21" s="22"/>
    </row>
    <row r="22" spans="1:1" x14ac:dyDescent="0.25">
      <c r="A22" s="22"/>
    </row>
    <row r="23" spans="1:1" x14ac:dyDescent="0.25">
      <c r="A23" s="22"/>
    </row>
    <row r="24" spans="1:1" x14ac:dyDescent="0.25">
      <c r="A24" s="22"/>
    </row>
    <row r="25" spans="1:1" x14ac:dyDescent="0.25">
      <c r="A25" s="22"/>
    </row>
    <row r="26" spans="1:1" x14ac:dyDescent="0.25">
      <c r="A26" s="22"/>
    </row>
    <row r="27" spans="1:1" x14ac:dyDescent="0.25">
      <c r="A27" s="22"/>
    </row>
    <row r="28" spans="1:1" x14ac:dyDescent="0.25">
      <c r="A28" s="22"/>
    </row>
    <row r="29" spans="1:1" x14ac:dyDescent="0.25">
      <c r="A29" s="22"/>
    </row>
    <row r="30" spans="1:1" x14ac:dyDescent="0.25">
      <c r="A30" s="22"/>
    </row>
    <row r="31" spans="1:1" x14ac:dyDescent="0.25">
      <c r="A31" s="22"/>
    </row>
    <row r="32" spans="1:1" x14ac:dyDescent="0.25">
      <c r="A32" s="22"/>
    </row>
    <row r="33" spans="1:1" x14ac:dyDescent="0.25">
      <c r="A33" s="22"/>
    </row>
    <row r="34" spans="1:1" x14ac:dyDescent="0.25">
      <c r="A34" s="22"/>
    </row>
    <row r="35" spans="1:1" x14ac:dyDescent="0.25">
      <c r="A35" s="22"/>
    </row>
    <row r="36" spans="1:1" x14ac:dyDescent="0.25">
      <c r="A36" s="22"/>
    </row>
    <row r="37" spans="1:1" x14ac:dyDescent="0.25">
      <c r="A37" s="22"/>
    </row>
    <row r="38" spans="1:1" x14ac:dyDescent="0.25">
      <c r="A38" s="22"/>
    </row>
    <row r="39" spans="1:1" x14ac:dyDescent="0.25">
      <c r="A39" s="22"/>
    </row>
    <row r="40" spans="1:1" x14ac:dyDescent="0.25">
      <c r="A40" s="22"/>
    </row>
    <row r="41" spans="1:1" x14ac:dyDescent="0.25">
      <c r="A41" s="22"/>
    </row>
    <row r="42" spans="1:1" x14ac:dyDescent="0.25">
      <c r="A42" s="22"/>
    </row>
    <row r="43" spans="1:1" x14ac:dyDescent="0.25">
      <c r="A43" s="22"/>
    </row>
    <row r="44" spans="1:1" x14ac:dyDescent="0.25">
      <c r="A44" s="22"/>
    </row>
    <row r="45" spans="1:1" x14ac:dyDescent="0.25">
      <c r="A45" s="22"/>
    </row>
    <row r="46" spans="1:1" x14ac:dyDescent="0.25">
      <c r="A46" s="22"/>
    </row>
    <row r="47" spans="1:1" x14ac:dyDescent="0.25">
      <c r="A47" s="22"/>
    </row>
    <row r="48" spans="1:1" x14ac:dyDescent="0.25">
      <c r="A48" s="22"/>
    </row>
    <row r="49" spans="1:1" x14ac:dyDescent="0.25">
      <c r="A49" s="22"/>
    </row>
    <row r="50" spans="1:1" x14ac:dyDescent="0.25">
      <c r="A50" s="22"/>
    </row>
    <row r="51" spans="1:1" x14ac:dyDescent="0.25">
      <c r="A51" s="22"/>
    </row>
    <row r="52" spans="1:1" x14ac:dyDescent="0.25">
      <c r="A52" s="22"/>
    </row>
    <row r="53" spans="1:1" x14ac:dyDescent="0.25">
      <c r="A53" s="22"/>
    </row>
    <row r="54" spans="1:1" x14ac:dyDescent="0.25">
      <c r="A54" s="22"/>
    </row>
    <row r="55" spans="1:1" x14ac:dyDescent="0.25">
      <c r="A55" s="22"/>
    </row>
    <row r="56" spans="1:1" x14ac:dyDescent="0.25">
      <c r="A56" s="22"/>
    </row>
    <row r="57" spans="1:1" x14ac:dyDescent="0.25">
      <c r="A57" s="22"/>
    </row>
    <row r="58" spans="1:1" x14ac:dyDescent="0.25">
      <c r="A58" s="22"/>
    </row>
    <row r="59" spans="1:1" x14ac:dyDescent="0.25">
      <c r="A59" s="22"/>
    </row>
    <row r="60" spans="1:1" x14ac:dyDescent="0.25">
      <c r="A60" s="22"/>
    </row>
    <row r="61" spans="1:1" x14ac:dyDescent="0.25">
      <c r="A61" s="22"/>
    </row>
    <row r="62" spans="1:1" x14ac:dyDescent="0.25">
      <c r="A62" s="22"/>
    </row>
    <row r="63" spans="1:1" x14ac:dyDescent="0.25">
      <c r="A63" s="22"/>
    </row>
    <row r="64" spans="1:1" x14ac:dyDescent="0.25">
      <c r="A64" s="22"/>
    </row>
    <row r="65" spans="1:1" x14ac:dyDescent="0.25">
      <c r="A65" s="22"/>
    </row>
    <row r="66" spans="1:1" x14ac:dyDescent="0.25">
      <c r="A66" s="22"/>
    </row>
    <row r="67" spans="1:1" x14ac:dyDescent="0.25">
      <c r="A67" s="22"/>
    </row>
    <row r="68" spans="1:1" x14ac:dyDescent="0.25">
      <c r="A68" s="22"/>
    </row>
    <row r="69" spans="1:1" x14ac:dyDescent="0.25">
      <c r="A69" s="22"/>
    </row>
    <row r="70" spans="1:1" x14ac:dyDescent="0.25">
      <c r="A70" s="22"/>
    </row>
    <row r="71" spans="1:1" x14ac:dyDescent="0.25">
      <c r="A71" s="22"/>
    </row>
    <row r="72" spans="1:1" x14ac:dyDescent="0.25">
      <c r="A72" s="22"/>
    </row>
    <row r="73" spans="1:1" x14ac:dyDescent="0.25">
      <c r="A73" s="22"/>
    </row>
    <row r="74" spans="1:1" x14ac:dyDescent="0.25">
      <c r="A74" s="22"/>
    </row>
    <row r="75" spans="1:1" x14ac:dyDescent="0.25">
      <c r="A75" s="22"/>
    </row>
    <row r="76" spans="1:1" x14ac:dyDescent="0.25">
      <c r="A76" s="22"/>
    </row>
    <row r="77" spans="1:1" x14ac:dyDescent="0.25">
      <c r="A77" s="22"/>
    </row>
    <row r="78" spans="1:1" x14ac:dyDescent="0.25">
      <c r="A78" s="22"/>
    </row>
    <row r="79" spans="1:1" x14ac:dyDescent="0.25">
      <c r="A79" s="22"/>
    </row>
    <row r="80" spans="1:1" x14ac:dyDescent="0.25">
      <c r="A80" s="22"/>
    </row>
    <row r="81" spans="1:1" x14ac:dyDescent="0.25">
      <c r="A81" s="22"/>
    </row>
    <row r="82" spans="1:1" x14ac:dyDescent="0.25">
      <c r="A82" s="22"/>
    </row>
    <row r="83" spans="1:1" x14ac:dyDescent="0.25">
      <c r="A83" s="22"/>
    </row>
    <row r="84" spans="1:1" x14ac:dyDescent="0.25">
      <c r="A84" s="22"/>
    </row>
    <row r="85" spans="1:1" x14ac:dyDescent="0.25">
      <c r="A85" s="22"/>
    </row>
    <row r="86" spans="1:1" x14ac:dyDescent="0.25">
      <c r="A86" s="22"/>
    </row>
    <row r="87" spans="1:1" x14ac:dyDescent="0.25">
      <c r="A87" s="22"/>
    </row>
    <row r="88" spans="1:1" x14ac:dyDescent="0.25">
      <c r="A88" s="22"/>
    </row>
    <row r="89" spans="1:1" x14ac:dyDescent="0.25">
      <c r="A89" s="22"/>
    </row>
    <row r="90" spans="1:1" x14ac:dyDescent="0.25">
      <c r="A90" s="22"/>
    </row>
    <row r="91" spans="1:1" x14ac:dyDescent="0.25">
      <c r="A91" s="22"/>
    </row>
    <row r="92" spans="1:1" x14ac:dyDescent="0.25">
      <c r="A92" s="22"/>
    </row>
    <row r="93" spans="1:1" x14ac:dyDescent="0.25">
      <c r="A93" s="22"/>
    </row>
    <row r="94" spans="1:1" x14ac:dyDescent="0.25">
      <c r="A94" s="22"/>
    </row>
    <row r="95" spans="1:1" x14ac:dyDescent="0.25">
      <c r="A95" s="22"/>
    </row>
    <row r="96" spans="1:1" x14ac:dyDescent="0.25">
      <c r="A96" s="22"/>
    </row>
    <row r="97" spans="1:1" x14ac:dyDescent="0.25">
      <c r="A97" s="22"/>
    </row>
    <row r="98" spans="1:1" x14ac:dyDescent="0.25">
      <c r="A98" s="22"/>
    </row>
    <row r="99" spans="1:1" x14ac:dyDescent="0.25">
      <c r="A99" s="22"/>
    </row>
    <row r="100" spans="1:1" x14ac:dyDescent="0.25">
      <c r="A100" s="22"/>
    </row>
    <row r="101" spans="1:1" x14ac:dyDescent="0.25">
      <c r="A101" s="22"/>
    </row>
    <row r="102" spans="1:1" x14ac:dyDescent="0.25">
      <c r="A102" s="22"/>
    </row>
    <row r="103" spans="1:1" x14ac:dyDescent="0.25">
      <c r="A103" s="22"/>
    </row>
    <row r="104" spans="1:1" x14ac:dyDescent="0.25">
      <c r="A104" s="22"/>
    </row>
    <row r="105" spans="1:1" x14ac:dyDescent="0.25">
      <c r="A105" s="22"/>
    </row>
    <row r="106" spans="1:1" x14ac:dyDescent="0.25">
      <c r="A106" s="22"/>
    </row>
    <row r="107" spans="1:1" x14ac:dyDescent="0.25">
      <c r="A107" s="22"/>
    </row>
    <row r="108" spans="1:1" x14ac:dyDescent="0.25">
      <c r="A108" s="22"/>
    </row>
    <row r="109" spans="1:1" x14ac:dyDescent="0.25">
      <c r="A109" s="22"/>
    </row>
    <row r="110" spans="1:1" x14ac:dyDescent="0.25">
      <c r="A110" s="22"/>
    </row>
    <row r="111" spans="1:1" x14ac:dyDescent="0.25">
      <c r="A111" s="22"/>
    </row>
    <row r="112" spans="1:1" x14ac:dyDescent="0.25">
      <c r="A112" s="22"/>
    </row>
    <row r="113" spans="1:1" x14ac:dyDescent="0.25">
      <c r="A113" s="22"/>
    </row>
    <row r="114" spans="1:1" x14ac:dyDescent="0.25">
      <c r="A114" s="22"/>
    </row>
    <row r="115" spans="1:1" x14ac:dyDescent="0.25">
      <c r="A115" s="22"/>
    </row>
    <row r="116" spans="1:1" x14ac:dyDescent="0.25">
      <c r="A116" s="22"/>
    </row>
    <row r="117" spans="1:1" x14ac:dyDescent="0.25">
      <c r="A117" s="22"/>
    </row>
    <row r="118" spans="1:1" x14ac:dyDescent="0.25">
      <c r="A118" s="22"/>
    </row>
    <row r="119" spans="1:1" x14ac:dyDescent="0.25">
      <c r="A119" s="22"/>
    </row>
    <row r="120" spans="1:1" x14ac:dyDescent="0.25">
      <c r="A120" s="22"/>
    </row>
    <row r="121" spans="1:1" x14ac:dyDescent="0.25">
      <c r="A121" s="22"/>
    </row>
    <row r="122" spans="1:1" x14ac:dyDescent="0.25">
      <c r="A122" s="22"/>
    </row>
    <row r="123" spans="1:1" x14ac:dyDescent="0.25">
      <c r="A123" s="22"/>
    </row>
    <row r="124" spans="1:1" x14ac:dyDescent="0.25">
      <c r="A124" s="22"/>
    </row>
    <row r="125" spans="1:1" x14ac:dyDescent="0.25">
      <c r="A125" s="22"/>
    </row>
    <row r="126" spans="1:1" x14ac:dyDescent="0.25">
      <c r="A126" s="22"/>
    </row>
    <row r="127" spans="1:1" x14ac:dyDescent="0.25">
      <c r="A127" s="22"/>
    </row>
    <row r="128" spans="1:1" x14ac:dyDescent="0.25">
      <c r="A128" s="22"/>
    </row>
    <row r="129" spans="1:1" x14ac:dyDescent="0.25">
      <c r="A129" s="22"/>
    </row>
    <row r="130" spans="1:1" x14ac:dyDescent="0.25">
      <c r="A130" s="22"/>
    </row>
    <row r="131" spans="1:1" x14ac:dyDescent="0.25">
      <c r="A131" s="22"/>
    </row>
    <row r="132" spans="1:1" x14ac:dyDescent="0.25">
      <c r="A132" s="22"/>
    </row>
    <row r="133" spans="1:1" x14ac:dyDescent="0.25">
      <c r="A133" s="22"/>
    </row>
    <row r="134" spans="1:1" x14ac:dyDescent="0.25">
      <c r="A134" s="22"/>
    </row>
    <row r="135" spans="1:1" x14ac:dyDescent="0.25">
      <c r="A135" s="22"/>
    </row>
    <row r="136" spans="1:1" x14ac:dyDescent="0.25">
      <c r="A136" s="22"/>
    </row>
    <row r="137" spans="1:1" x14ac:dyDescent="0.25">
      <c r="A137" s="22"/>
    </row>
    <row r="138" spans="1:1" x14ac:dyDescent="0.25">
      <c r="A138" s="22"/>
    </row>
    <row r="139" spans="1:1" x14ac:dyDescent="0.25">
      <c r="A139" s="22"/>
    </row>
    <row r="140" spans="1:1" x14ac:dyDescent="0.25">
      <c r="A140" s="22"/>
    </row>
    <row r="141" spans="1:1" x14ac:dyDescent="0.25">
      <c r="A141" s="22"/>
    </row>
    <row r="142" spans="1:1" x14ac:dyDescent="0.25">
      <c r="A142" s="22"/>
    </row>
    <row r="143" spans="1:1" x14ac:dyDescent="0.25">
      <c r="A143" s="22"/>
    </row>
    <row r="144" spans="1:1" x14ac:dyDescent="0.25">
      <c r="A144" s="22"/>
    </row>
    <row r="145" spans="1:1" x14ac:dyDescent="0.25">
      <c r="A145" s="22"/>
    </row>
    <row r="146" spans="1:1" x14ac:dyDescent="0.25">
      <c r="A146" s="22"/>
    </row>
    <row r="147" spans="1:1" x14ac:dyDescent="0.25">
      <c r="A147" s="22"/>
    </row>
    <row r="148" spans="1:1" x14ac:dyDescent="0.25">
      <c r="A148" s="22"/>
    </row>
    <row r="149" spans="1:1" x14ac:dyDescent="0.25">
      <c r="A149" s="22"/>
    </row>
    <row r="150" spans="1:1" x14ac:dyDescent="0.25">
      <c r="A150" s="22"/>
    </row>
    <row r="151" spans="1:1" x14ac:dyDescent="0.25">
      <c r="A151" s="22"/>
    </row>
    <row r="152" spans="1:1" x14ac:dyDescent="0.25">
      <c r="A152" s="22"/>
    </row>
    <row r="153" spans="1:1" x14ac:dyDescent="0.25">
      <c r="A153" s="22"/>
    </row>
    <row r="154" spans="1:1" x14ac:dyDescent="0.25">
      <c r="A154" s="22"/>
    </row>
    <row r="155" spans="1:1" x14ac:dyDescent="0.25">
      <c r="A155" s="22"/>
    </row>
    <row r="156" spans="1:1" x14ac:dyDescent="0.25">
      <c r="A156" s="22"/>
    </row>
    <row r="157" spans="1:1" x14ac:dyDescent="0.25">
      <c r="A157" s="22"/>
    </row>
    <row r="158" spans="1:1" x14ac:dyDescent="0.25">
      <c r="A158" s="22"/>
    </row>
    <row r="159" spans="1:1" x14ac:dyDescent="0.25">
      <c r="A159" s="22"/>
    </row>
    <row r="160" spans="1:1" x14ac:dyDescent="0.25">
      <c r="A160" s="22"/>
    </row>
    <row r="161" spans="1:1" x14ac:dyDescent="0.25">
      <c r="A161" s="22"/>
    </row>
    <row r="162" spans="1:1" x14ac:dyDescent="0.25">
      <c r="A162" s="22"/>
    </row>
    <row r="163" spans="1:1" x14ac:dyDescent="0.25">
      <c r="A163" s="22"/>
    </row>
    <row r="164" spans="1:1" x14ac:dyDescent="0.25">
      <c r="A164" s="22"/>
    </row>
    <row r="165" spans="1:1" x14ac:dyDescent="0.25">
      <c r="A165" s="22"/>
    </row>
    <row r="166" spans="1:1" x14ac:dyDescent="0.25">
      <c r="A166" s="22"/>
    </row>
    <row r="167" spans="1:1" x14ac:dyDescent="0.25">
      <c r="A167" s="22"/>
    </row>
    <row r="168" spans="1:1" x14ac:dyDescent="0.25">
      <c r="A168" s="22"/>
    </row>
    <row r="169" spans="1:1" x14ac:dyDescent="0.25">
      <c r="A169" s="22"/>
    </row>
    <row r="170" spans="1:1" x14ac:dyDescent="0.25">
      <c r="A170" s="22"/>
    </row>
    <row r="171" spans="1:1" x14ac:dyDescent="0.25">
      <c r="A171" s="22"/>
    </row>
    <row r="172" spans="1:1" x14ac:dyDescent="0.25">
      <c r="A172" s="22"/>
    </row>
    <row r="173" spans="1:1" x14ac:dyDescent="0.25">
      <c r="A173" s="22"/>
    </row>
    <row r="174" spans="1:1" x14ac:dyDescent="0.25">
      <c r="A174" s="22"/>
    </row>
    <row r="175" spans="1:1" x14ac:dyDescent="0.25">
      <c r="A175" s="22"/>
    </row>
    <row r="176" spans="1:1" x14ac:dyDescent="0.25">
      <c r="A176" s="22"/>
    </row>
    <row r="177" spans="1:1" x14ac:dyDescent="0.25">
      <c r="A177" s="22"/>
    </row>
    <row r="178" spans="1:1" x14ac:dyDescent="0.25">
      <c r="A178" s="22"/>
    </row>
    <row r="179" spans="1:1" x14ac:dyDescent="0.25">
      <c r="A179" s="22"/>
    </row>
    <row r="180" spans="1:1" x14ac:dyDescent="0.25">
      <c r="A180" s="22"/>
    </row>
    <row r="181" spans="1:1" x14ac:dyDescent="0.25">
      <c r="A181" s="22"/>
    </row>
    <row r="182" spans="1:1" x14ac:dyDescent="0.25">
      <c r="A182" s="22"/>
    </row>
    <row r="183" spans="1:1" x14ac:dyDescent="0.25">
      <c r="A183" s="22"/>
    </row>
    <row r="184" spans="1:1" x14ac:dyDescent="0.25">
      <c r="A184" s="22"/>
    </row>
    <row r="185" spans="1:1" x14ac:dyDescent="0.25">
      <c r="A185" s="22"/>
    </row>
    <row r="186" spans="1:1" x14ac:dyDescent="0.25">
      <c r="A186" s="22"/>
    </row>
    <row r="187" spans="1:1" x14ac:dyDescent="0.25">
      <c r="A187" s="22"/>
    </row>
    <row r="188" spans="1:1" x14ac:dyDescent="0.25">
      <c r="A188" s="22"/>
    </row>
    <row r="189" spans="1:1" x14ac:dyDescent="0.25">
      <c r="A189" s="22"/>
    </row>
    <row r="190" spans="1:1" x14ac:dyDescent="0.25">
      <c r="A190" s="22"/>
    </row>
    <row r="191" spans="1:1" x14ac:dyDescent="0.25">
      <c r="A191" s="22"/>
    </row>
    <row r="192" spans="1:1" x14ac:dyDescent="0.25">
      <c r="A192" s="22"/>
    </row>
    <row r="193" spans="1:1" x14ac:dyDescent="0.25">
      <c r="A193" s="22"/>
    </row>
    <row r="194" spans="1:1" x14ac:dyDescent="0.25">
      <c r="A194" s="22"/>
    </row>
    <row r="195" spans="1:1" x14ac:dyDescent="0.25">
      <c r="A195" s="22"/>
    </row>
    <row r="196" spans="1:1" x14ac:dyDescent="0.25">
      <c r="A196" s="22"/>
    </row>
    <row r="197" spans="1:1" x14ac:dyDescent="0.25">
      <c r="A197" s="22"/>
    </row>
    <row r="198" spans="1:1" x14ac:dyDescent="0.25">
      <c r="A198" s="22"/>
    </row>
    <row r="199" spans="1:1" x14ac:dyDescent="0.25">
      <c r="A199" s="22"/>
    </row>
    <row r="200" spans="1:1" x14ac:dyDescent="0.25">
      <c r="A200" s="22"/>
    </row>
    <row r="201" spans="1:1" x14ac:dyDescent="0.25">
      <c r="A201" s="22"/>
    </row>
    <row r="202" spans="1:1" x14ac:dyDescent="0.25">
      <c r="A202" s="22"/>
    </row>
    <row r="203" spans="1:1" x14ac:dyDescent="0.25">
      <c r="A203" s="22"/>
    </row>
    <row r="204" spans="1:1" x14ac:dyDescent="0.25">
      <c r="A204" s="22"/>
    </row>
    <row r="205" spans="1:1" x14ac:dyDescent="0.25">
      <c r="A205" s="22"/>
    </row>
    <row r="206" spans="1:1" x14ac:dyDescent="0.25">
      <c r="A206" s="22"/>
    </row>
    <row r="207" spans="1:1" x14ac:dyDescent="0.25">
      <c r="A207" s="22"/>
    </row>
    <row r="208" spans="1:1" x14ac:dyDescent="0.25">
      <c r="A208" s="22"/>
    </row>
    <row r="209" spans="1:1" x14ac:dyDescent="0.25">
      <c r="A209" s="22"/>
    </row>
    <row r="210" spans="1:1" x14ac:dyDescent="0.25">
      <c r="A210" s="22"/>
    </row>
    <row r="211" spans="1:1" x14ac:dyDescent="0.25">
      <c r="A211" s="2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"/>
  <sheetViews>
    <sheetView workbookViewId="0"/>
  </sheetViews>
  <sheetFormatPr defaultColWidth="8.85546875" defaultRowHeight="15" x14ac:dyDescent="0.25"/>
  <cols>
    <col min="1" max="1" width="44" customWidth="1"/>
    <col min="2" max="2" width="16" customWidth="1"/>
    <col min="3" max="3" width="48" customWidth="1"/>
    <col min="4" max="5" width="16" customWidth="1"/>
    <col min="6" max="6" width="17" customWidth="1"/>
  </cols>
  <sheetData>
    <row r="1" spans="1:6" ht="18.75" x14ac:dyDescent="0.3">
      <c r="A1" s="11" t="s">
        <v>112</v>
      </c>
    </row>
    <row r="2" spans="1:6" x14ac:dyDescent="0.25">
      <c r="A2" s="12" t="s">
        <v>113</v>
      </c>
    </row>
    <row r="4" spans="1:6" x14ac:dyDescent="0.25">
      <c r="A4" s="13" t="s">
        <v>46</v>
      </c>
      <c r="B4" s="14">
        <v>0</v>
      </c>
      <c r="C4" s="15" t="s">
        <v>47</v>
      </c>
    </row>
    <row r="5" spans="1:6" x14ac:dyDescent="0.25">
      <c r="A5" s="13" t="s">
        <v>48</v>
      </c>
      <c r="B5" s="16">
        <v>0</v>
      </c>
      <c r="C5" s="15" t="s">
        <v>49</v>
      </c>
    </row>
    <row r="7" spans="1:6" x14ac:dyDescent="0.25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</row>
    <row r="8" spans="1:6" ht="39.950000000000003" customHeight="1" x14ac:dyDescent="0.25">
      <c r="A8" s="17" t="s">
        <v>114</v>
      </c>
      <c r="B8" s="17" t="s">
        <v>115</v>
      </c>
      <c r="C8" s="17" t="s">
        <v>116</v>
      </c>
      <c r="D8" s="17" t="s">
        <v>117</v>
      </c>
      <c r="E8" s="17" t="s">
        <v>118</v>
      </c>
      <c r="F8" s="17" t="s">
        <v>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8"/>
  <sheetViews>
    <sheetView workbookViewId="0"/>
  </sheetViews>
  <sheetFormatPr defaultColWidth="8.85546875" defaultRowHeight="15" x14ac:dyDescent="0.25"/>
  <cols>
    <col min="1" max="1" width="50" customWidth="1"/>
    <col min="2" max="2" width="33" customWidth="1"/>
    <col min="3" max="3" width="48" customWidth="1"/>
    <col min="4" max="4" width="28" customWidth="1"/>
    <col min="5" max="6" width="50" customWidth="1"/>
  </cols>
  <sheetData>
    <row r="1" spans="1:6" ht="18.75" x14ac:dyDescent="0.3">
      <c r="A1" s="11" t="s">
        <v>119</v>
      </c>
    </row>
    <row r="2" spans="1:6" x14ac:dyDescent="0.25">
      <c r="A2" s="12" t="s">
        <v>120</v>
      </c>
    </row>
    <row r="4" spans="1:6" x14ac:dyDescent="0.25">
      <c r="A4" s="13" t="s">
        <v>46</v>
      </c>
      <c r="B4" s="14">
        <v>0</v>
      </c>
      <c r="C4" s="15" t="s">
        <v>47</v>
      </c>
    </row>
    <row r="5" spans="1:6" x14ac:dyDescent="0.25">
      <c r="A5" s="13" t="s">
        <v>48</v>
      </c>
      <c r="B5" s="16">
        <v>0</v>
      </c>
      <c r="C5" s="15" t="s">
        <v>49</v>
      </c>
    </row>
    <row r="7" spans="1:6" x14ac:dyDescent="0.25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</row>
    <row r="8" spans="1:6" ht="39.950000000000003" customHeight="1" x14ac:dyDescent="0.25">
      <c r="A8" s="17" t="s">
        <v>121</v>
      </c>
      <c r="B8" s="17" t="s">
        <v>122</v>
      </c>
      <c r="C8" s="17" t="s">
        <v>123</v>
      </c>
      <c r="D8" s="17" t="s">
        <v>34</v>
      </c>
      <c r="E8" s="17" t="s">
        <v>124</v>
      </c>
      <c r="F8" s="17" t="s">
        <v>125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11"/>
  <sheetViews>
    <sheetView topLeftCell="A2" workbookViewId="0">
      <selection activeCell="A29" sqref="A29"/>
    </sheetView>
  </sheetViews>
  <sheetFormatPr defaultColWidth="8.85546875" defaultRowHeight="15" x14ac:dyDescent="0.25"/>
  <cols>
    <col min="1" max="1" width="36" customWidth="1"/>
    <col min="2" max="4" width="50" customWidth="1"/>
    <col min="5" max="6" width="14" customWidth="1"/>
    <col min="7" max="7" width="18.140625" customWidth="1"/>
    <col min="8" max="8" width="20.28515625" customWidth="1"/>
  </cols>
  <sheetData>
    <row r="1" spans="1:15" ht="18.75" x14ac:dyDescent="0.3">
      <c r="A1" s="11" t="s">
        <v>126</v>
      </c>
    </row>
    <row r="2" spans="1:15" x14ac:dyDescent="0.25">
      <c r="A2" s="12" t="s">
        <v>127</v>
      </c>
    </row>
    <row r="4" spans="1:15" x14ac:dyDescent="0.25">
      <c r="A4" s="13" t="s">
        <v>46</v>
      </c>
      <c r="B4" s="23">
        <f>IFERROR(AVERAGE(N12:N200), 0)</f>
        <v>0.21562500000000001</v>
      </c>
    </row>
    <row r="5" spans="1:15" x14ac:dyDescent="0.25">
      <c r="A5" s="13" t="s">
        <v>48</v>
      </c>
      <c r="B5" s="16">
        <f>IF(COUNTA(N12:N200)=0, 0, IF(B4&lt;=2, 6, IF(B4&lt;=3, 5, IF(B4&lt;=4, 4, IF(B4&lt;=10, 2, IF(B4&lt;=100, 1, 0))))))</f>
        <v>6</v>
      </c>
    </row>
    <row r="7" spans="1:15" x14ac:dyDescent="0.25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</row>
    <row r="8" spans="1:15" ht="39.950000000000003" customHeight="1" x14ac:dyDescent="0.25">
      <c r="A8" s="17" t="s">
        <v>128</v>
      </c>
      <c r="B8" s="17" t="s">
        <v>129</v>
      </c>
      <c r="C8" s="17" t="s">
        <v>130</v>
      </c>
      <c r="D8" s="17" t="s">
        <v>131</v>
      </c>
      <c r="E8" s="17" t="s">
        <v>132</v>
      </c>
      <c r="F8" s="17" t="s">
        <v>133</v>
      </c>
    </row>
    <row r="10" spans="1:15" x14ac:dyDescent="0.25">
      <c r="A10" s="19" t="s">
        <v>63</v>
      </c>
    </row>
    <row r="11" spans="1:15" x14ac:dyDescent="0.25">
      <c r="A11" s="4" t="s">
        <v>134</v>
      </c>
      <c r="B11" s="4" t="s">
        <v>135</v>
      </c>
      <c r="C11" s="4" t="s">
        <v>110</v>
      </c>
      <c r="D11" s="4" t="s">
        <v>136</v>
      </c>
      <c r="E11" s="4" t="s">
        <v>137</v>
      </c>
      <c r="F11" s="4" t="s">
        <v>138</v>
      </c>
      <c r="G11" s="4" t="s">
        <v>139</v>
      </c>
      <c r="H11" s="4" t="s">
        <v>140</v>
      </c>
      <c r="I11" s="4" t="s">
        <v>141</v>
      </c>
      <c r="J11" s="4" t="s">
        <v>142</v>
      </c>
      <c r="K11" s="4" t="s">
        <v>143</v>
      </c>
      <c r="L11" s="4" t="s">
        <v>144</v>
      </c>
      <c r="M11" s="4" t="s">
        <v>145</v>
      </c>
      <c r="N11" s="4" t="s">
        <v>146</v>
      </c>
      <c r="O11" s="4" t="s">
        <v>69</v>
      </c>
    </row>
    <row r="12" spans="1:15" x14ac:dyDescent="0.25">
      <c r="A12" s="20">
        <v>14444</v>
      </c>
      <c r="B12" s="5" t="s">
        <v>147</v>
      </c>
      <c r="C12" s="5" t="s">
        <v>148</v>
      </c>
      <c r="D12" s="5" t="s">
        <v>149</v>
      </c>
      <c r="E12" s="5" t="s">
        <v>73</v>
      </c>
      <c r="F12" s="24">
        <v>20.100000000000001</v>
      </c>
      <c r="G12" s="21">
        <v>46210</v>
      </c>
      <c r="H12" s="21">
        <v>46212</v>
      </c>
      <c r="I12" s="24">
        <v>3</v>
      </c>
      <c r="J12" s="24">
        <v>3</v>
      </c>
      <c r="K12" s="24">
        <v>3</v>
      </c>
      <c r="L12" s="24">
        <v>0</v>
      </c>
      <c r="M12" s="24">
        <f>SUM(I12,J12,K12,L12)</f>
        <v>9</v>
      </c>
      <c r="N12" s="24">
        <f>SUM(M12/8)</f>
        <v>1.125</v>
      </c>
      <c r="O12" s="5" t="s">
        <v>7</v>
      </c>
    </row>
    <row r="13" spans="1:15" x14ac:dyDescent="0.25">
      <c r="A13" s="20">
        <v>14493</v>
      </c>
      <c r="B13" s="5" t="s">
        <v>150</v>
      </c>
      <c r="C13" s="5" t="s">
        <v>151</v>
      </c>
      <c r="D13" s="5" t="s">
        <v>152</v>
      </c>
      <c r="E13" s="5" t="s">
        <v>73</v>
      </c>
      <c r="F13" s="24">
        <v>20.100000000000001</v>
      </c>
      <c r="G13" s="21">
        <v>46211</v>
      </c>
      <c r="H13" s="21">
        <v>10</v>
      </c>
      <c r="I13" s="24">
        <v>3</v>
      </c>
      <c r="J13" s="24">
        <v>2</v>
      </c>
      <c r="K13" s="24">
        <v>3</v>
      </c>
      <c r="L13" s="24">
        <v>0</v>
      </c>
      <c r="M13" s="24">
        <f t="shared" ref="M13:M51" si="0">SUM(I13,J13,K13,L13)</f>
        <v>8</v>
      </c>
      <c r="N13" s="24">
        <f t="shared" ref="N13:N51" si="1">SUM(M13/8)</f>
        <v>1</v>
      </c>
      <c r="O13" s="5" t="s">
        <v>7</v>
      </c>
    </row>
    <row r="14" spans="1:15" x14ac:dyDescent="0.25">
      <c r="A14" s="20">
        <v>14584</v>
      </c>
      <c r="B14" s="5" t="s">
        <v>153</v>
      </c>
      <c r="C14" s="5" t="s">
        <v>154</v>
      </c>
      <c r="D14" s="5" t="s">
        <v>155</v>
      </c>
      <c r="E14" s="5" t="s">
        <v>73</v>
      </c>
      <c r="F14" s="24">
        <v>20.100000000000001</v>
      </c>
      <c r="G14" s="21">
        <v>46210</v>
      </c>
      <c r="H14" s="21">
        <v>46212</v>
      </c>
      <c r="I14" s="24">
        <v>3</v>
      </c>
      <c r="J14" s="24">
        <v>3</v>
      </c>
      <c r="K14" s="24">
        <v>3</v>
      </c>
      <c r="L14" s="24">
        <v>0</v>
      </c>
      <c r="M14" s="24">
        <f t="shared" si="0"/>
        <v>9</v>
      </c>
      <c r="N14" s="24">
        <f t="shared" si="1"/>
        <v>1.125</v>
      </c>
      <c r="O14" s="5" t="s">
        <v>7</v>
      </c>
    </row>
    <row r="15" spans="1:15" x14ac:dyDescent="0.25">
      <c r="A15" s="20">
        <v>14626</v>
      </c>
      <c r="B15" s="5" t="s">
        <v>156</v>
      </c>
      <c r="C15" s="5" t="s">
        <v>157</v>
      </c>
      <c r="D15" s="5" t="s">
        <v>158</v>
      </c>
      <c r="E15" s="5" t="s">
        <v>73</v>
      </c>
      <c r="F15" s="24">
        <v>20.100000000000001</v>
      </c>
      <c r="G15" s="21">
        <v>46209</v>
      </c>
      <c r="H15" s="21">
        <v>46212</v>
      </c>
      <c r="I15" s="24">
        <v>3</v>
      </c>
      <c r="J15" s="24">
        <v>1</v>
      </c>
      <c r="K15" s="24">
        <v>2</v>
      </c>
      <c r="L15" s="24">
        <v>0</v>
      </c>
      <c r="M15" s="24">
        <f t="shared" si="0"/>
        <v>6</v>
      </c>
      <c r="N15" s="24">
        <f t="shared" si="1"/>
        <v>0.75</v>
      </c>
      <c r="O15" s="5" t="s">
        <v>7</v>
      </c>
    </row>
    <row r="16" spans="1:15" x14ac:dyDescent="0.25">
      <c r="A16" s="20"/>
      <c r="B16" s="5"/>
      <c r="C16" s="5"/>
      <c r="D16" s="5"/>
      <c r="E16" s="5" t="s">
        <v>70</v>
      </c>
      <c r="F16" s="5"/>
      <c r="G16" s="5"/>
      <c r="H16" s="5"/>
      <c r="I16" s="24">
        <v>2</v>
      </c>
      <c r="J16" s="5"/>
      <c r="K16" s="5"/>
      <c r="L16" s="5"/>
      <c r="M16" s="24">
        <f t="shared" si="0"/>
        <v>2</v>
      </c>
      <c r="N16" s="24">
        <f t="shared" si="1"/>
        <v>0.25</v>
      </c>
      <c r="O16" s="5"/>
    </row>
    <row r="17" spans="1:15" x14ac:dyDescent="0.25">
      <c r="A17" s="20">
        <v>14334</v>
      </c>
      <c r="B17" s="5" t="s">
        <v>159</v>
      </c>
      <c r="C17" s="5" t="s">
        <v>160</v>
      </c>
      <c r="D17" s="5" t="s">
        <v>161</v>
      </c>
      <c r="E17" s="5" t="s">
        <v>162</v>
      </c>
      <c r="F17" s="24">
        <v>17.2</v>
      </c>
      <c r="G17" s="21">
        <v>46230</v>
      </c>
      <c r="H17" s="21">
        <v>46230</v>
      </c>
      <c r="I17" s="24">
        <v>4</v>
      </c>
      <c r="J17" s="24">
        <v>0</v>
      </c>
      <c r="K17" s="24">
        <v>0</v>
      </c>
      <c r="L17" s="24">
        <v>0</v>
      </c>
      <c r="M17" s="24">
        <f t="shared" si="0"/>
        <v>4</v>
      </c>
      <c r="N17" s="24">
        <f t="shared" si="1"/>
        <v>0.5</v>
      </c>
      <c r="O17" s="5" t="s">
        <v>7</v>
      </c>
    </row>
    <row r="18" spans="1:15" x14ac:dyDescent="0.25">
      <c r="A18" s="20">
        <v>14404</v>
      </c>
      <c r="B18" s="5" t="s">
        <v>163</v>
      </c>
      <c r="C18" s="5" t="s">
        <v>164</v>
      </c>
      <c r="D18" s="5" t="s">
        <v>165</v>
      </c>
      <c r="E18" s="5" t="s">
        <v>162</v>
      </c>
      <c r="F18" s="24">
        <v>17.2</v>
      </c>
      <c r="G18" s="21">
        <v>46232</v>
      </c>
      <c r="H18" s="21">
        <v>46232</v>
      </c>
      <c r="I18" s="24">
        <v>3</v>
      </c>
      <c r="J18" s="24">
        <v>0</v>
      </c>
      <c r="K18" s="24">
        <v>0</v>
      </c>
      <c r="L18" s="24">
        <v>0</v>
      </c>
      <c r="M18" s="24">
        <f t="shared" si="0"/>
        <v>3</v>
      </c>
      <c r="N18" s="24">
        <f t="shared" si="1"/>
        <v>0.375</v>
      </c>
      <c r="O18" s="5" t="s">
        <v>7</v>
      </c>
    </row>
    <row r="19" spans="1:15" x14ac:dyDescent="0.25">
      <c r="A19" s="20">
        <v>14679</v>
      </c>
      <c r="B19" s="5" t="s">
        <v>166</v>
      </c>
      <c r="C19" s="5" t="s">
        <v>167</v>
      </c>
      <c r="D19" s="5" t="s">
        <v>168</v>
      </c>
      <c r="E19" s="5" t="s">
        <v>162</v>
      </c>
      <c r="F19" s="24">
        <v>17.2</v>
      </c>
      <c r="G19" s="21">
        <v>46234</v>
      </c>
      <c r="H19" s="21">
        <v>46234</v>
      </c>
      <c r="I19" s="24">
        <v>4</v>
      </c>
      <c r="J19" s="24">
        <v>0</v>
      </c>
      <c r="K19" s="24">
        <v>0</v>
      </c>
      <c r="L19" s="24">
        <v>0</v>
      </c>
      <c r="M19" s="24">
        <f t="shared" si="0"/>
        <v>4</v>
      </c>
      <c r="N19" s="24">
        <f t="shared" si="1"/>
        <v>0.5</v>
      </c>
      <c r="O19" s="5" t="s">
        <v>7</v>
      </c>
    </row>
    <row r="20" spans="1:15" x14ac:dyDescent="0.25">
      <c r="A20" s="20">
        <v>14723</v>
      </c>
      <c r="B20" s="5" t="s">
        <v>166</v>
      </c>
      <c r="C20" s="5" t="s">
        <v>169</v>
      </c>
      <c r="D20" s="5" t="s">
        <v>170</v>
      </c>
      <c r="E20" s="5" t="s">
        <v>162</v>
      </c>
      <c r="F20" s="24">
        <v>17.2</v>
      </c>
      <c r="G20" s="21">
        <v>46238</v>
      </c>
      <c r="H20" s="27">
        <v>46268</v>
      </c>
      <c r="I20" s="24">
        <v>2</v>
      </c>
      <c r="J20" s="24">
        <v>1</v>
      </c>
      <c r="K20" s="24">
        <v>0</v>
      </c>
      <c r="L20" s="24">
        <v>0</v>
      </c>
      <c r="M20" s="24">
        <f t="shared" si="0"/>
        <v>3</v>
      </c>
      <c r="N20" s="24">
        <f t="shared" si="1"/>
        <v>0.375</v>
      </c>
      <c r="O20" s="5" t="s">
        <v>8</v>
      </c>
    </row>
    <row r="21" spans="1:15" x14ac:dyDescent="0.25">
      <c r="A21" s="20">
        <v>14900</v>
      </c>
      <c r="B21" s="5" t="s">
        <v>171</v>
      </c>
      <c r="C21" s="5" t="s">
        <v>172</v>
      </c>
      <c r="D21" s="5" t="s">
        <v>173</v>
      </c>
      <c r="E21" s="5" t="s">
        <v>162</v>
      </c>
      <c r="F21" s="24">
        <v>17.2</v>
      </c>
      <c r="G21" s="21">
        <v>46238</v>
      </c>
      <c r="H21" s="27">
        <v>46268</v>
      </c>
      <c r="I21" s="24">
        <v>2</v>
      </c>
      <c r="J21" s="5">
        <v>1</v>
      </c>
      <c r="K21" s="5">
        <v>0</v>
      </c>
      <c r="L21" s="5">
        <v>0</v>
      </c>
      <c r="M21" s="24">
        <f t="shared" si="0"/>
        <v>3</v>
      </c>
      <c r="N21" s="24">
        <f t="shared" si="1"/>
        <v>0.375</v>
      </c>
      <c r="O21" s="5" t="s">
        <v>8</v>
      </c>
    </row>
    <row r="22" spans="1:15" x14ac:dyDescent="0.25">
      <c r="A22" s="20">
        <v>13890</v>
      </c>
      <c r="B22" s="5" t="s">
        <v>174</v>
      </c>
      <c r="C22" s="5" t="s">
        <v>175</v>
      </c>
      <c r="D22" s="5" t="s">
        <v>176</v>
      </c>
      <c r="E22" s="5" t="s">
        <v>162</v>
      </c>
      <c r="F22" s="24">
        <v>17.2</v>
      </c>
      <c r="G22" s="21">
        <v>46239</v>
      </c>
      <c r="H22" s="21">
        <v>46240</v>
      </c>
      <c r="I22" s="24">
        <v>2</v>
      </c>
      <c r="J22" s="24">
        <v>2</v>
      </c>
      <c r="K22" s="24">
        <v>0</v>
      </c>
      <c r="L22" s="24">
        <v>0</v>
      </c>
      <c r="M22" s="24">
        <f t="shared" si="0"/>
        <v>4</v>
      </c>
      <c r="N22" s="24">
        <f t="shared" si="1"/>
        <v>0.5</v>
      </c>
      <c r="O22" s="5" t="s">
        <v>8</v>
      </c>
    </row>
    <row r="23" spans="1:15" x14ac:dyDescent="0.25">
      <c r="A23" s="20">
        <v>13880</v>
      </c>
      <c r="B23" s="5" t="s">
        <v>177</v>
      </c>
      <c r="C23" s="5" t="s">
        <v>178</v>
      </c>
      <c r="D23" s="5" t="s">
        <v>179</v>
      </c>
      <c r="E23" s="5" t="s">
        <v>70</v>
      </c>
      <c r="F23" s="24">
        <v>17.2</v>
      </c>
      <c r="G23" s="21">
        <v>46225</v>
      </c>
      <c r="H23" s="21">
        <v>46240</v>
      </c>
      <c r="I23" s="24">
        <v>2</v>
      </c>
      <c r="J23" s="24">
        <v>1</v>
      </c>
      <c r="K23" s="5"/>
      <c r="L23" s="5"/>
      <c r="M23" s="24">
        <f t="shared" si="0"/>
        <v>3</v>
      </c>
      <c r="N23" s="24">
        <f t="shared" si="1"/>
        <v>0.375</v>
      </c>
      <c r="O23" s="5" t="s">
        <v>7</v>
      </c>
    </row>
    <row r="24" spans="1:15" x14ac:dyDescent="0.25">
      <c r="A24" s="20">
        <v>13886</v>
      </c>
      <c r="B24" s="5" t="s">
        <v>180</v>
      </c>
      <c r="C24" s="5" t="s">
        <v>181</v>
      </c>
      <c r="D24" s="5" t="s">
        <v>182</v>
      </c>
      <c r="E24" s="5" t="s">
        <v>70</v>
      </c>
      <c r="F24" s="24">
        <v>17.2</v>
      </c>
      <c r="G24" s="21">
        <v>46241</v>
      </c>
      <c r="H24" s="5"/>
      <c r="I24" s="24">
        <v>2</v>
      </c>
      <c r="J24" s="5"/>
      <c r="K24" s="5"/>
      <c r="L24" s="5"/>
      <c r="M24" s="24">
        <f t="shared" si="0"/>
        <v>2</v>
      </c>
      <c r="N24" s="24">
        <f t="shared" si="1"/>
        <v>0.25</v>
      </c>
      <c r="O24" s="5" t="s">
        <v>8</v>
      </c>
    </row>
    <row r="25" spans="1:15" x14ac:dyDescent="0.25">
      <c r="A25" s="20">
        <v>14633</v>
      </c>
      <c r="B25" s="5" t="s">
        <v>360</v>
      </c>
      <c r="C25" s="5" t="s">
        <v>358</v>
      </c>
      <c r="D25" s="5" t="s">
        <v>359</v>
      </c>
      <c r="E25" s="5" t="s">
        <v>162</v>
      </c>
      <c r="F25" s="5" t="s">
        <v>361</v>
      </c>
      <c r="G25" s="27">
        <v>46268</v>
      </c>
      <c r="H25" s="27">
        <v>46268</v>
      </c>
      <c r="I25" s="5">
        <v>3</v>
      </c>
      <c r="J25" s="5">
        <v>0</v>
      </c>
      <c r="K25" s="5">
        <v>0</v>
      </c>
      <c r="L25" s="5">
        <v>0</v>
      </c>
      <c r="M25" s="24">
        <f t="shared" si="0"/>
        <v>3</v>
      </c>
      <c r="N25" s="24">
        <f t="shared" si="1"/>
        <v>0.375</v>
      </c>
      <c r="O25" s="5" t="s">
        <v>9</v>
      </c>
    </row>
    <row r="26" spans="1:15" ht="16.5" x14ac:dyDescent="0.3">
      <c r="A26" s="20">
        <v>14900</v>
      </c>
      <c r="B26" s="5"/>
      <c r="C26" s="38" t="s">
        <v>172</v>
      </c>
      <c r="D26" s="38" t="s">
        <v>173</v>
      </c>
      <c r="E26" s="5" t="s">
        <v>162</v>
      </c>
      <c r="F26" s="5" t="s">
        <v>361</v>
      </c>
      <c r="G26" s="27">
        <v>46268</v>
      </c>
      <c r="H26" s="27">
        <v>46268</v>
      </c>
      <c r="I26" s="5">
        <v>2</v>
      </c>
      <c r="J26" s="5">
        <v>0</v>
      </c>
      <c r="K26" s="5">
        <v>0</v>
      </c>
      <c r="L26" s="5">
        <v>0</v>
      </c>
      <c r="M26" s="24">
        <f t="shared" si="0"/>
        <v>2</v>
      </c>
      <c r="N26" s="24">
        <f t="shared" si="1"/>
        <v>0.25</v>
      </c>
      <c r="O26" s="5" t="s">
        <v>9</v>
      </c>
    </row>
    <row r="27" spans="1:15" x14ac:dyDescent="0.25">
      <c r="A27" s="20">
        <v>14254</v>
      </c>
      <c r="B27" s="5" t="s">
        <v>267</v>
      </c>
      <c r="C27" s="5" t="s">
        <v>362</v>
      </c>
      <c r="D27" s="5" t="s">
        <v>363</v>
      </c>
      <c r="E27" s="5" t="s">
        <v>70</v>
      </c>
      <c r="F27" s="5" t="s">
        <v>361</v>
      </c>
      <c r="G27" s="27">
        <v>46268</v>
      </c>
      <c r="H27" s="5"/>
      <c r="I27" s="5">
        <v>2</v>
      </c>
      <c r="J27" s="5"/>
      <c r="K27" s="5"/>
      <c r="L27" s="5"/>
      <c r="M27" s="24">
        <f t="shared" si="0"/>
        <v>2</v>
      </c>
      <c r="N27" s="24">
        <f t="shared" si="1"/>
        <v>0.25</v>
      </c>
      <c r="O27" s="5" t="s">
        <v>9</v>
      </c>
    </row>
    <row r="28" spans="1:15" x14ac:dyDescent="0.25">
      <c r="A28" s="20">
        <v>14687</v>
      </c>
      <c r="B28" s="5" t="s">
        <v>374</v>
      </c>
      <c r="C28" s="5" t="s">
        <v>375</v>
      </c>
      <c r="D28" s="5" t="s">
        <v>376</v>
      </c>
      <c r="E28" s="5" t="s">
        <v>70</v>
      </c>
      <c r="F28" s="5" t="s">
        <v>361</v>
      </c>
      <c r="G28" s="27">
        <v>46276</v>
      </c>
      <c r="H28" s="5"/>
      <c r="I28" s="5">
        <v>2</v>
      </c>
      <c r="J28" s="5"/>
      <c r="K28" s="5"/>
      <c r="L28" s="5"/>
      <c r="M28" s="24">
        <f t="shared" si="0"/>
        <v>2</v>
      </c>
      <c r="N28" s="24">
        <f t="shared" si="1"/>
        <v>0.25</v>
      </c>
      <c r="O28" s="5" t="s">
        <v>9</v>
      </c>
    </row>
    <row r="29" spans="1:15" x14ac:dyDescent="0.25">
      <c r="A29" s="20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24">
        <f t="shared" si="0"/>
        <v>0</v>
      </c>
      <c r="N29" s="24">
        <f t="shared" si="1"/>
        <v>0</v>
      </c>
      <c r="O29" s="5"/>
    </row>
    <row r="30" spans="1:15" x14ac:dyDescent="0.25">
      <c r="A30" s="20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24">
        <f t="shared" si="0"/>
        <v>0</v>
      </c>
      <c r="N30" s="24">
        <f t="shared" si="1"/>
        <v>0</v>
      </c>
      <c r="O30" s="5"/>
    </row>
    <row r="31" spans="1:15" x14ac:dyDescent="0.25">
      <c r="A31" s="20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24">
        <f t="shared" si="0"/>
        <v>0</v>
      </c>
      <c r="N31" s="24">
        <f t="shared" si="1"/>
        <v>0</v>
      </c>
      <c r="O31" s="5"/>
    </row>
    <row r="32" spans="1:15" x14ac:dyDescent="0.25">
      <c r="A32" s="20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24">
        <f t="shared" si="0"/>
        <v>0</v>
      </c>
      <c r="N32" s="24">
        <f t="shared" si="1"/>
        <v>0</v>
      </c>
      <c r="O32" s="5"/>
    </row>
    <row r="33" spans="1:15" x14ac:dyDescent="0.25">
      <c r="A33" s="20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24">
        <f t="shared" si="0"/>
        <v>0</v>
      </c>
      <c r="N33" s="24">
        <f t="shared" si="1"/>
        <v>0</v>
      </c>
      <c r="O33" s="5"/>
    </row>
    <row r="34" spans="1:15" x14ac:dyDescent="0.25">
      <c r="A34" s="20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24">
        <f t="shared" si="0"/>
        <v>0</v>
      </c>
      <c r="N34" s="24">
        <f t="shared" si="1"/>
        <v>0</v>
      </c>
      <c r="O34" s="5"/>
    </row>
    <row r="35" spans="1:15" x14ac:dyDescent="0.25">
      <c r="A35" s="20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24">
        <f t="shared" si="0"/>
        <v>0</v>
      </c>
      <c r="N35" s="24">
        <f t="shared" si="1"/>
        <v>0</v>
      </c>
      <c r="O35" s="5"/>
    </row>
    <row r="36" spans="1:15" x14ac:dyDescent="0.25">
      <c r="A36" s="20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24">
        <f t="shared" si="0"/>
        <v>0</v>
      </c>
      <c r="N36" s="24">
        <f t="shared" si="1"/>
        <v>0</v>
      </c>
      <c r="O36" s="5"/>
    </row>
    <row r="37" spans="1:15" x14ac:dyDescent="0.25">
      <c r="A37" s="20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24">
        <f t="shared" si="0"/>
        <v>0</v>
      </c>
      <c r="N37" s="24">
        <f t="shared" si="1"/>
        <v>0</v>
      </c>
      <c r="O37" s="5"/>
    </row>
    <row r="38" spans="1:15" x14ac:dyDescent="0.25">
      <c r="A38" s="20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24">
        <f t="shared" si="0"/>
        <v>0</v>
      </c>
      <c r="N38" s="24">
        <f t="shared" si="1"/>
        <v>0</v>
      </c>
      <c r="O38" s="5"/>
    </row>
    <row r="39" spans="1:15" x14ac:dyDescent="0.25">
      <c r="A39" s="20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24">
        <f t="shared" si="0"/>
        <v>0</v>
      </c>
      <c r="N39" s="24">
        <f t="shared" si="1"/>
        <v>0</v>
      </c>
      <c r="O39" s="5"/>
    </row>
    <row r="40" spans="1:15" x14ac:dyDescent="0.25">
      <c r="A40" s="20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24">
        <f t="shared" si="0"/>
        <v>0</v>
      </c>
      <c r="N40" s="24">
        <f t="shared" si="1"/>
        <v>0</v>
      </c>
      <c r="O40" s="5"/>
    </row>
    <row r="41" spans="1:15" x14ac:dyDescent="0.25">
      <c r="A41" s="20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24">
        <f t="shared" si="0"/>
        <v>0</v>
      </c>
      <c r="N41" s="24">
        <f t="shared" si="1"/>
        <v>0</v>
      </c>
      <c r="O41" s="5"/>
    </row>
    <row r="42" spans="1:15" x14ac:dyDescent="0.25">
      <c r="A42" s="20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24">
        <f t="shared" si="0"/>
        <v>0</v>
      </c>
      <c r="N42" s="24">
        <f t="shared" si="1"/>
        <v>0</v>
      </c>
      <c r="O42" s="5"/>
    </row>
    <row r="43" spans="1:15" x14ac:dyDescent="0.25">
      <c r="A43" s="20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24">
        <f t="shared" si="0"/>
        <v>0</v>
      </c>
      <c r="N43" s="24">
        <f t="shared" si="1"/>
        <v>0</v>
      </c>
      <c r="O43" s="5"/>
    </row>
    <row r="44" spans="1:15" x14ac:dyDescent="0.25">
      <c r="A44" s="20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24">
        <f t="shared" si="0"/>
        <v>0</v>
      </c>
      <c r="N44" s="24">
        <f t="shared" si="1"/>
        <v>0</v>
      </c>
      <c r="O44" s="5"/>
    </row>
    <row r="45" spans="1:15" x14ac:dyDescent="0.25">
      <c r="A45" s="20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24">
        <f t="shared" si="0"/>
        <v>0</v>
      </c>
      <c r="N45" s="24">
        <f t="shared" si="1"/>
        <v>0</v>
      </c>
      <c r="O45" s="5"/>
    </row>
    <row r="46" spans="1:15" x14ac:dyDescent="0.25">
      <c r="A46" s="20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24">
        <f t="shared" si="0"/>
        <v>0</v>
      </c>
      <c r="N46" s="24">
        <f t="shared" si="1"/>
        <v>0</v>
      </c>
      <c r="O46" s="5"/>
    </row>
    <row r="47" spans="1:15" x14ac:dyDescent="0.25">
      <c r="A47" s="20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24">
        <f t="shared" si="0"/>
        <v>0</v>
      </c>
      <c r="N47" s="24">
        <f t="shared" si="1"/>
        <v>0</v>
      </c>
      <c r="O47" s="5"/>
    </row>
    <row r="48" spans="1:15" x14ac:dyDescent="0.25">
      <c r="A48" s="20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24">
        <f t="shared" si="0"/>
        <v>0</v>
      </c>
      <c r="N48" s="24">
        <f t="shared" si="1"/>
        <v>0</v>
      </c>
      <c r="O48" s="5"/>
    </row>
    <row r="49" spans="1:15" x14ac:dyDescent="0.25">
      <c r="A49" s="20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24">
        <f t="shared" si="0"/>
        <v>0</v>
      </c>
      <c r="N49" s="24">
        <f t="shared" si="1"/>
        <v>0</v>
      </c>
      <c r="O49" s="5"/>
    </row>
    <row r="50" spans="1:15" x14ac:dyDescent="0.25">
      <c r="A50" s="22"/>
      <c r="M50" s="24">
        <f t="shared" si="0"/>
        <v>0</v>
      </c>
      <c r="N50" s="24">
        <f t="shared" si="1"/>
        <v>0</v>
      </c>
    </row>
    <row r="51" spans="1:15" x14ac:dyDescent="0.25">
      <c r="A51" s="22"/>
      <c r="M51" s="24">
        <f t="shared" si="0"/>
        <v>0</v>
      </c>
      <c r="N51" s="24">
        <f t="shared" si="1"/>
        <v>0</v>
      </c>
    </row>
    <row r="52" spans="1:15" x14ac:dyDescent="0.25">
      <c r="A52" s="22"/>
    </row>
    <row r="53" spans="1:15" x14ac:dyDescent="0.25">
      <c r="A53" s="22"/>
    </row>
    <row r="54" spans="1:15" x14ac:dyDescent="0.25">
      <c r="A54" s="22"/>
    </row>
    <row r="55" spans="1:15" x14ac:dyDescent="0.25">
      <c r="A55" s="22"/>
    </row>
    <row r="56" spans="1:15" x14ac:dyDescent="0.25">
      <c r="A56" s="22"/>
    </row>
    <row r="57" spans="1:15" x14ac:dyDescent="0.25">
      <c r="A57" s="22"/>
    </row>
    <row r="58" spans="1:15" x14ac:dyDescent="0.25">
      <c r="A58" s="22"/>
    </row>
    <row r="59" spans="1:15" x14ac:dyDescent="0.25">
      <c r="A59" s="22"/>
    </row>
    <row r="60" spans="1:15" x14ac:dyDescent="0.25">
      <c r="A60" s="22"/>
    </row>
    <row r="61" spans="1:15" x14ac:dyDescent="0.25">
      <c r="A61" s="22"/>
    </row>
    <row r="62" spans="1:15" x14ac:dyDescent="0.25">
      <c r="A62" s="22"/>
    </row>
    <row r="63" spans="1:15" x14ac:dyDescent="0.25">
      <c r="A63" s="22"/>
    </row>
    <row r="64" spans="1:15" x14ac:dyDescent="0.25">
      <c r="A64" s="22"/>
    </row>
    <row r="65" spans="1:1" x14ac:dyDescent="0.25">
      <c r="A65" s="22"/>
    </row>
    <row r="66" spans="1:1" x14ac:dyDescent="0.25">
      <c r="A66" s="22"/>
    </row>
    <row r="67" spans="1:1" x14ac:dyDescent="0.25">
      <c r="A67" s="22"/>
    </row>
    <row r="68" spans="1:1" x14ac:dyDescent="0.25">
      <c r="A68" s="22"/>
    </row>
    <row r="69" spans="1:1" x14ac:dyDescent="0.25">
      <c r="A69" s="22"/>
    </row>
    <row r="70" spans="1:1" x14ac:dyDescent="0.25">
      <c r="A70" s="22"/>
    </row>
    <row r="71" spans="1:1" x14ac:dyDescent="0.25">
      <c r="A71" s="22"/>
    </row>
    <row r="72" spans="1:1" x14ac:dyDescent="0.25">
      <c r="A72" s="22"/>
    </row>
    <row r="73" spans="1:1" x14ac:dyDescent="0.25">
      <c r="A73" s="22"/>
    </row>
    <row r="74" spans="1:1" x14ac:dyDescent="0.25">
      <c r="A74" s="22"/>
    </row>
    <row r="75" spans="1:1" x14ac:dyDescent="0.25">
      <c r="A75" s="22"/>
    </row>
    <row r="76" spans="1:1" x14ac:dyDescent="0.25">
      <c r="A76" s="22"/>
    </row>
    <row r="77" spans="1:1" x14ac:dyDescent="0.25">
      <c r="A77" s="22"/>
    </row>
    <row r="78" spans="1:1" x14ac:dyDescent="0.25">
      <c r="A78" s="22"/>
    </row>
    <row r="79" spans="1:1" x14ac:dyDescent="0.25">
      <c r="A79" s="22"/>
    </row>
    <row r="80" spans="1:1" x14ac:dyDescent="0.25">
      <c r="A80" s="22"/>
    </row>
    <row r="81" spans="1:1" x14ac:dyDescent="0.25">
      <c r="A81" s="22"/>
    </row>
    <row r="82" spans="1:1" x14ac:dyDescent="0.25">
      <c r="A82" s="22"/>
    </row>
    <row r="83" spans="1:1" x14ac:dyDescent="0.25">
      <c r="A83" s="22"/>
    </row>
    <row r="84" spans="1:1" x14ac:dyDescent="0.25">
      <c r="A84" s="22"/>
    </row>
    <row r="85" spans="1:1" x14ac:dyDescent="0.25">
      <c r="A85" s="22"/>
    </row>
    <row r="86" spans="1:1" x14ac:dyDescent="0.25">
      <c r="A86" s="22"/>
    </row>
    <row r="87" spans="1:1" x14ac:dyDescent="0.25">
      <c r="A87" s="22"/>
    </row>
    <row r="88" spans="1:1" x14ac:dyDescent="0.25">
      <c r="A88" s="22"/>
    </row>
    <row r="89" spans="1:1" x14ac:dyDescent="0.25">
      <c r="A89" s="22"/>
    </row>
    <row r="90" spans="1:1" x14ac:dyDescent="0.25">
      <c r="A90" s="22"/>
    </row>
    <row r="91" spans="1:1" x14ac:dyDescent="0.25">
      <c r="A91" s="22"/>
    </row>
    <row r="92" spans="1:1" x14ac:dyDescent="0.25">
      <c r="A92" s="22"/>
    </row>
    <row r="93" spans="1:1" x14ac:dyDescent="0.25">
      <c r="A93" s="22"/>
    </row>
    <row r="94" spans="1:1" x14ac:dyDescent="0.25">
      <c r="A94" s="22"/>
    </row>
    <row r="95" spans="1:1" x14ac:dyDescent="0.25">
      <c r="A95" s="22"/>
    </row>
    <row r="96" spans="1:1" x14ac:dyDescent="0.25">
      <c r="A96" s="22"/>
    </row>
    <row r="97" spans="1:1" x14ac:dyDescent="0.25">
      <c r="A97" s="22"/>
    </row>
    <row r="98" spans="1:1" x14ac:dyDescent="0.25">
      <c r="A98" s="22"/>
    </row>
    <row r="99" spans="1:1" x14ac:dyDescent="0.25">
      <c r="A99" s="22"/>
    </row>
    <row r="100" spans="1:1" x14ac:dyDescent="0.25">
      <c r="A100" s="22"/>
    </row>
    <row r="101" spans="1:1" x14ac:dyDescent="0.25">
      <c r="A101" s="22"/>
    </row>
    <row r="102" spans="1:1" x14ac:dyDescent="0.25">
      <c r="A102" s="22"/>
    </row>
    <row r="103" spans="1:1" x14ac:dyDescent="0.25">
      <c r="A103" s="22"/>
    </row>
    <row r="104" spans="1:1" x14ac:dyDescent="0.25">
      <c r="A104" s="22"/>
    </row>
    <row r="105" spans="1:1" x14ac:dyDescent="0.25">
      <c r="A105" s="22"/>
    </row>
    <row r="106" spans="1:1" x14ac:dyDescent="0.25">
      <c r="A106" s="22"/>
    </row>
    <row r="107" spans="1:1" x14ac:dyDescent="0.25">
      <c r="A107" s="22"/>
    </row>
    <row r="108" spans="1:1" x14ac:dyDescent="0.25">
      <c r="A108" s="22"/>
    </row>
    <row r="109" spans="1:1" x14ac:dyDescent="0.25">
      <c r="A109" s="22"/>
    </row>
    <row r="110" spans="1:1" x14ac:dyDescent="0.25">
      <c r="A110" s="22"/>
    </row>
    <row r="111" spans="1:1" x14ac:dyDescent="0.25">
      <c r="A111" s="22"/>
    </row>
    <row r="112" spans="1:1" x14ac:dyDescent="0.25">
      <c r="A112" s="22"/>
    </row>
    <row r="113" spans="1:1" x14ac:dyDescent="0.25">
      <c r="A113" s="22"/>
    </row>
    <row r="114" spans="1:1" x14ac:dyDescent="0.25">
      <c r="A114" s="22"/>
    </row>
    <row r="115" spans="1:1" x14ac:dyDescent="0.25">
      <c r="A115" s="22"/>
    </row>
    <row r="116" spans="1:1" x14ac:dyDescent="0.25">
      <c r="A116" s="22"/>
    </row>
    <row r="117" spans="1:1" x14ac:dyDescent="0.25">
      <c r="A117" s="22"/>
    </row>
    <row r="118" spans="1:1" x14ac:dyDescent="0.25">
      <c r="A118" s="22"/>
    </row>
    <row r="119" spans="1:1" x14ac:dyDescent="0.25">
      <c r="A119" s="22"/>
    </row>
    <row r="120" spans="1:1" x14ac:dyDescent="0.25">
      <c r="A120" s="22"/>
    </row>
    <row r="121" spans="1:1" x14ac:dyDescent="0.25">
      <c r="A121" s="22"/>
    </row>
    <row r="122" spans="1:1" x14ac:dyDescent="0.25">
      <c r="A122" s="22"/>
    </row>
    <row r="123" spans="1:1" x14ac:dyDescent="0.25">
      <c r="A123" s="22"/>
    </row>
    <row r="124" spans="1:1" x14ac:dyDescent="0.25">
      <c r="A124" s="22"/>
    </row>
    <row r="125" spans="1:1" x14ac:dyDescent="0.25">
      <c r="A125" s="22"/>
    </row>
    <row r="126" spans="1:1" x14ac:dyDescent="0.25">
      <c r="A126" s="22"/>
    </row>
    <row r="127" spans="1:1" x14ac:dyDescent="0.25">
      <c r="A127" s="22"/>
    </row>
    <row r="128" spans="1:1" x14ac:dyDescent="0.25">
      <c r="A128" s="22"/>
    </row>
    <row r="129" spans="1:1" x14ac:dyDescent="0.25">
      <c r="A129" s="22"/>
    </row>
    <row r="130" spans="1:1" x14ac:dyDescent="0.25">
      <c r="A130" s="22"/>
    </row>
    <row r="131" spans="1:1" x14ac:dyDescent="0.25">
      <c r="A131" s="22"/>
    </row>
    <row r="132" spans="1:1" x14ac:dyDescent="0.25">
      <c r="A132" s="22"/>
    </row>
    <row r="133" spans="1:1" x14ac:dyDescent="0.25">
      <c r="A133" s="22"/>
    </row>
    <row r="134" spans="1:1" x14ac:dyDescent="0.25">
      <c r="A134" s="22"/>
    </row>
    <row r="135" spans="1:1" x14ac:dyDescent="0.25">
      <c r="A135" s="22"/>
    </row>
    <row r="136" spans="1:1" x14ac:dyDescent="0.25">
      <c r="A136" s="22"/>
    </row>
    <row r="137" spans="1:1" x14ac:dyDescent="0.25">
      <c r="A137" s="22"/>
    </row>
    <row r="138" spans="1:1" x14ac:dyDescent="0.25">
      <c r="A138" s="22"/>
    </row>
    <row r="139" spans="1:1" x14ac:dyDescent="0.25">
      <c r="A139" s="22"/>
    </row>
    <row r="140" spans="1:1" x14ac:dyDescent="0.25">
      <c r="A140" s="22"/>
    </row>
    <row r="141" spans="1:1" x14ac:dyDescent="0.25">
      <c r="A141" s="22"/>
    </row>
    <row r="142" spans="1:1" x14ac:dyDescent="0.25">
      <c r="A142" s="22"/>
    </row>
    <row r="143" spans="1:1" x14ac:dyDescent="0.25">
      <c r="A143" s="22"/>
    </row>
    <row r="144" spans="1:1" x14ac:dyDescent="0.25">
      <c r="A144" s="22"/>
    </row>
    <row r="145" spans="1:1" x14ac:dyDescent="0.25">
      <c r="A145" s="22"/>
    </row>
    <row r="146" spans="1:1" x14ac:dyDescent="0.25">
      <c r="A146" s="22"/>
    </row>
    <row r="147" spans="1:1" x14ac:dyDescent="0.25">
      <c r="A147" s="22"/>
    </row>
    <row r="148" spans="1:1" x14ac:dyDescent="0.25">
      <c r="A148" s="22"/>
    </row>
    <row r="149" spans="1:1" x14ac:dyDescent="0.25">
      <c r="A149" s="22"/>
    </row>
    <row r="150" spans="1:1" x14ac:dyDescent="0.25">
      <c r="A150" s="22"/>
    </row>
    <row r="151" spans="1:1" x14ac:dyDescent="0.25">
      <c r="A151" s="22"/>
    </row>
    <row r="152" spans="1:1" x14ac:dyDescent="0.25">
      <c r="A152" s="22"/>
    </row>
    <row r="153" spans="1:1" x14ac:dyDescent="0.25">
      <c r="A153" s="22"/>
    </row>
    <row r="154" spans="1:1" x14ac:dyDescent="0.25">
      <c r="A154" s="22"/>
    </row>
    <row r="155" spans="1:1" x14ac:dyDescent="0.25">
      <c r="A155" s="22"/>
    </row>
    <row r="156" spans="1:1" x14ac:dyDescent="0.25">
      <c r="A156" s="22"/>
    </row>
    <row r="157" spans="1:1" x14ac:dyDescent="0.25">
      <c r="A157" s="22"/>
    </row>
    <row r="158" spans="1:1" x14ac:dyDescent="0.25">
      <c r="A158" s="22"/>
    </row>
    <row r="159" spans="1:1" x14ac:dyDescent="0.25">
      <c r="A159" s="22"/>
    </row>
    <row r="160" spans="1:1" x14ac:dyDescent="0.25">
      <c r="A160" s="22"/>
    </row>
    <row r="161" spans="1:1" x14ac:dyDescent="0.25">
      <c r="A161" s="22"/>
    </row>
    <row r="162" spans="1:1" x14ac:dyDescent="0.25">
      <c r="A162" s="22"/>
    </row>
    <row r="163" spans="1:1" x14ac:dyDescent="0.25">
      <c r="A163" s="22"/>
    </row>
    <row r="164" spans="1:1" x14ac:dyDescent="0.25">
      <c r="A164" s="22"/>
    </row>
    <row r="165" spans="1:1" x14ac:dyDescent="0.25">
      <c r="A165" s="22"/>
    </row>
    <row r="166" spans="1:1" x14ac:dyDescent="0.25">
      <c r="A166" s="22"/>
    </row>
    <row r="167" spans="1:1" x14ac:dyDescent="0.25">
      <c r="A167" s="22"/>
    </row>
    <row r="168" spans="1:1" x14ac:dyDescent="0.25">
      <c r="A168" s="22"/>
    </row>
    <row r="169" spans="1:1" x14ac:dyDescent="0.25">
      <c r="A169" s="22"/>
    </row>
    <row r="170" spans="1:1" x14ac:dyDescent="0.25">
      <c r="A170" s="22"/>
    </row>
    <row r="171" spans="1:1" x14ac:dyDescent="0.25">
      <c r="A171" s="22"/>
    </row>
    <row r="172" spans="1:1" x14ac:dyDescent="0.25">
      <c r="A172" s="22"/>
    </row>
    <row r="173" spans="1:1" x14ac:dyDescent="0.25">
      <c r="A173" s="22"/>
    </row>
    <row r="174" spans="1:1" x14ac:dyDescent="0.25">
      <c r="A174" s="22"/>
    </row>
    <row r="175" spans="1:1" x14ac:dyDescent="0.25">
      <c r="A175" s="22"/>
    </row>
    <row r="176" spans="1:1" x14ac:dyDescent="0.25">
      <c r="A176" s="22"/>
    </row>
    <row r="177" spans="1:1" x14ac:dyDescent="0.25">
      <c r="A177" s="22"/>
    </row>
    <row r="178" spans="1:1" x14ac:dyDescent="0.25">
      <c r="A178" s="22"/>
    </row>
    <row r="179" spans="1:1" x14ac:dyDescent="0.25">
      <c r="A179" s="22"/>
    </row>
    <row r="180" spans="1:1" x14ac:dyDescent="0.25">
      <c r="A180" s="22"/>
    </row>
    <row r="181" spans="1:1" x14ac:dyDescent="0.25">
      <c r="A181" s="22"/>
    </row>
    <row r="182" spans="1:1" x14ac:dyDescent="0.25">
      <c r="A182" s="22"/>
    </row>
    <row r="183" spans="1:1" x14ac:dyDescent="0.25">
      <c r="A183" s="22"/>
    </row>
    <row r="184" spans="1:1" x14ac:dyDescent="0.25">
      <c r="A184" s="22"/>
    </row>
    <row r="185" spans="1:1" x14ac:dyDescent="0.25">
      <c r="A185" s="22"/>
    </row>
    <row r="186" spans="1:1" x14ac:dyDescent="0.25">
      <c r="A186" s="22"/>
    </row>
    <row r="187" spans="1:1" x14ac:dyDescent="0.25">
      <c r="A187" s="22"/>
    </row>
    <row r="188" spans="1:1" x14ac:dyDescent="0.25">
      <c r="A188" s="22"/>
    </row>
    <row r="189" spans="1:1" x14ac:dyDescent="0.25">
      <c r="A189" s="22"/>
    </row>
    <row r="190" spans="1:1" x14ac:dyDescent="0.25">
      <c r="A190" s="22"/>
    </row>
    <row r="191" spans="1:1" x14ac:dyDescent="0.25">
      <c r="A191" s="22"/>
    </row>
    <row r="192" spans="1:1" x14ac:dyDescent="0.25">
      <c r="A192" s="22"/>
    </row>
    <row r="193" spans="1:1" x14ac:dyDescent="0.25">
      <c r="A193" s="22"/>
    </row>
    <row r="194" spans="1:1" x14ac:dyDescent="0.25">
      <c r="A194" s="22"/>
    </row>
    <row r="195" spans="1:1" x14ac:dyDescent="0.25">
      <c r="A195" s="22"/>
    </row>
    <row r="196" spans="1:1" x14ac:dyDescent="0.25">
      <c r="A196" s="22"/>
    </row>
    <row r="197" spans="1:1" x14ac:dyDescent="0.25">
      <c r="A197" s="22"/>
    </row>
    <row r="198" spans="1:1" x14ac:dyDescent="0.25">
      <c r="A198" s="22"/>
    </row>
    <row r="199" spans="1:1" x14ac:dyDescent="0.25">
      <c r="A199" s="22"/>
    </row>
    <row r="200" spans="1:1" x14ac:dyDescent="0.25">
      <c r="A200" s="22"/>
    </row>
    <row r="201" spans="1:1" x14ac:dyDescent="0.25">
      <c r="A201" s="22"/>
    </row>
    <row r="202" spans="1:1" x14ac:dyDescent="0.25">
      <c r="A202" s="22"/>
    </row>
    <row r="203" spans="1:1" x14ac:dyDescent="0.25">
      <c r="A203" s="22"/>
    </row>
    <row r="204" spans="1:1" x14ac:dyDescent="0.25">
      <c r="A204" s="22"/>
    </row>
    <row r="205" spans="1:1" x14ac:dyDescent="0.25">
      <c r="A205" s="22"/>
    </row>
    <row r="206" spans="1:1" x14ac:dyDescent="0.25">
      <c r="A206" s="22"/>
    </row>
    <row r="207" spans="1:1" x14ac:dyDescent="0.25">
      <c r="A207" s="22"/>
    </row>
    <row r="208" spans="1:1" x14ac:dyDescent="0.25">
      <c r="A208" s="22"/>
    </row>
    <row r="209" spans="1:1" x14ac:dyDescent="0.25">
      <c r="A209" s="22"/>
    </row>
    <row r="210" spans="1:1" x14ac:dyDescent="0.25">
      <c r="A210" s="22"/>
    </row>
    <row r="211" spans="1:1" x14ac:dyDescent="0.25">
      <c r="A211" s="22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430"/>
  <sheetViews>
    <sheetView topLeftCell="C17" workbookViewId="0">
      <selection activeCell="C43" sqref="C43:E49"/>
    </sheetView>
  </sheetViews>
  <sheetFormatPr defaultColWidth="8.85546875" defaultRowHeight="15" x14ac:dyDescent="0.25"/>
  <cols>
    <col min="1" max="1" width="36" customWidth="1"/>
    <col min="2" max="4" width="50" customWidth="1"/>
    <col min="5" max="6" width="14" customWidth="1"/>
    <col min="7" max="7" width="24" customWidth="1"/>
    <col min="8" max="8" width="30.28515625" customWidth="1"/>
    <col min="9" max="9" width="23.28515625" customWidth="1"/>
  </cols>
  <sheetData>
    <row r="1" spans="1:15" ht="18.75" x14ac:dyDescent="0.3">
      <c r="A1" s="11" t="s">
        <v>183</v>
      </c>
    </row>
    <row r="2" spans="1:15" x14ac:dyDescent="0.25">
      <c r="A2" s="12" t="s">
        <v>184</v>
      </c>
    </row>
    <row r="4" spans="1:15" x14ac:dyDescent="0.25">
      <c r="A4" s="13" t="s">
        <v>46</v>
      </c>
      <c r="B4" s="23">
        <f>IFERROR(AVERAGE(N12:N200), 0)</f>
        <v>4.3320105820105821E-2</v>
      </c>
    </row>
    <row r="5" spans="1:15" x14ac:dyDescent="0.25">
      <c r="A5" s="13" t="s">
        <v>48</v>
      </c>
      <c r="B5" s="16">
        <f>IF(COUNTA(N12:N200)=0, 0, IF(B4&lt;=0.99, 6, IF(B4&lt;=1.99, 5, IF(B4&lt;=2.99, 4, IF(B4&lt;=3.99, 3, IF(B4&lt;=4.99, 2, 1))))))</f>
        <v>6</v>
      </c>
    </row>
    <row r="7" spans="1:15" x14ac:dyDescent="0.25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</row>
    <row r="8" spans="1:15" ht="39.950000000000003" customHeight="1" x14ac:dyDescent="0.25">
      <c r="A8" s="17" t="s">
        <v>185</v>
      </c>
      <c r="B8" s="17" t="s">
        <v>186</v>
      </c>
      <c r="C8" s="17" t="s">
        <v>187</v>
      </c>
      <c r="D8" s="17" t="s">
        <v>188</v>
      </c>
      <c r="E8" s="17" t="s">
        <v>189</v>
      </c>
      <c r="F8" s="17" t="s">
        <v>190</v>
      </c>
    </row>
    <row r="10" spans="1:15" x14ac:dyDescent="0.25">
      <c r="A10" s="19" t="s">
        <v>63</v>
      </c>
    </row>
    <row r="11" spans="1:15" x14ac:dyDescent="0.25">
      <c r="A11" s="4" t="s">
        <v>134</v>
      </c>
      <c r="B11" s="4" t="s">
        <v>135</v>
      </c>
      <c r="C11" s="4" t="s">
        <v>110</v>
      </c>
      <c r="D11" s="4" t="s">
        <v>136</v>
      </c>
      <c r="E11" s="4" t="s">
        <v>137</v>
      </c>
      <c r="F11" s="4" t="s">
        <v>138</v>
      </c>
      <c r="G11" s="4" t="s">
        <v>139</v>
      </c>
      <c r="H11" s="4" t="s">
        <v>140</v>
      </c>
      <c r="I11" s="4" t="s">
        <v>141</v>
      </c>
      <c r="J11" s="4" t="s">
        <v>142</v>
      </c>
      <c r="K11" s="4" t="s">
        <v>143</v>
      </c>
      <c r="L11" s="4" t="s">
        <v>144</v>
      </c>
      <c r="M11" s="4" t="s">
        <v>145</v>
      </c>
      <c r="N11" s="4" t="s">
        <v>146</v>
      </c>
      <c r="O11" s="4" t="s">
        <v>69</v>
      </c>
    </row>
    <row r="12" spans="1:15" x14ac:dyDescent="0.25">
      <c r="A12" s="20">
        <v>15455</v>
      </c>
      <c r="B12" s="5" t="s">
        <v>191</v>
      </c>
      <c r="C12" s="5" t="s">
        <v>192</v>
      </c>
      <c r="D12" s="5" t="s">
        <v>193</v>
      </c>
      <c r="E12" s="5" t="s">
        <v>70</v>
      </c>
      <c r="F12" s="24">
        <v>17.100000000000001</v>
      </c>
      <c r="G12" s="21">
        <v>46209</v>
      </c>
      <c r="H12" s="21">
        <v>46217</v>
      </c>
      <c r="I12" s="24">
        <v>3</v>
      </c>
      <c r="J12" s="24">
        <v>2</v>
      </c>
      <c r="K12" s="24">
        <v>1</v>
      </c>
      <c r="L12" s="24">
        <v>0</v>
      </c>
      <c r="M12" s="24">
        <f>SUM(I12+J12+K12+L12)</f>
        <v>6</v>
      </c>
      <c r="N12" s="24">
        <f>SUM(M12/8)</f>
        <v>0.75</v>
      </c>
      <c r="O12" s="5" t="s">
        <v>7</v>
      </c>
    </row>
    <row r="13" spans="1:15" x14ac:dyDescent="0.25">
      <c r="A13" s="20">
        <v>15615</v>
      </c>
      <c r="B13" s="5" t="s">
        <v>194</v>
      </c>
      <c r="C13" s="5" t="s">
        <v>195</v>
      </c>
      <c r="D13" s="5" t="s">
        <v>196</v>
      </c>
      <c r="E13" s="5" t="s">
        <v>70</v>
      </c>
      <c r="F13" s="24">
        <v>17.100000000000001</v>
      </c>
      <c r="G13" s="21">
        <v>46212</v>
      </c>
      <c r="H13" s="21">
        <v>46212</v>
      </c>
      <c r="I13" s="24">
        <v>4</v>
      </c>
      <c r="J13" s="24">
        <v>0</v>
      </c>
      <c r="K13" s="24">
        <v>0</v>
      </c>
      <c r="L13" s="24">
        <v>0</v>
      </c>
      <c r="M13" s="24">
        <f t="shared" ref="M13:M76" si="0">SUM(I13+J13+K13+L13)</f>
        <v>4</v>
      </c>
      <c r="N13" s="24">
        <f t="shared" ref="N13:N76" si="1">SUM(M13/8)</f>
        <v>0.5</v>
      </c>
      <c r="O13" s="5" t="s">
        <v>7</v>
      </c>
    </row>
    <row r="14" spans="1:15" x14ac:dyDescent="0.25">
      <c r="A14" s="20">
        <v>14976</v>
      </c>
      <c r="B14" s="5" t="s">
        <v>197</v>
      </c>
      <c r="C14" s="5" t="s">
        <v>198</v>
      </c>
      <c r="D14" s="5" t="s">
        <v>199</v>
      </c>
      <c r="E14" s="5" t="s">
        <v>70</v>
      </c>
      <c r="F14" s="24">
        <v>17.100000000000001</v>
      </c>
      <c r="G14" s="21">
        <v>46212</v>
      </c>
      <c r="H14" s="21">
        <v>46212</v>
      </c>
      <c r="I14" s="24">
        <v>3</v>
      </c>
      <c r="J14" s="24">
        <v>0</v>
      </c>
      <c r="K14" s="24">
        <v>0</v>
      </c>
      <c r="L14" s="24">
        <v>0</v>
      </c>
      <c r="M14" s="24">
        <f t="shared" si="0"/>
        <v>3</v>
      </c>
      <c r="N14" s="24">
        <f t="shared" si="1"/>
        <v>0.375</v>
      </c>
      <c r="O14" s="5" t="s">
        <v>7</v>
      </c>
    </row>
    <row r="15" spans="1:15" x14ac:dyDescent="0.25">
      <c r="A15" s="20">
        <v>15665</v>
      </c>
      <c r="B15" s="5" t="s">
        <v>200</v>
      </c>
      <c r="C15" s="5" t="s">
        <v>201</v>
      </c>
      <c r="D15" s="5" t="s">
        <v>202</v>
      </c>
      <c r="E15" s="5" t="s">
        <v>70</v>
      </c>
      <c r="F15" s="24">
        <v>17.100000000000001</v>
      </c>
      <c r="G15" s="21">
        <v>46213</v>
      </c>
      <c r="H15" s="21">
        <v>46213</v>
      </c>
      <c r="I15" s="24">
        <v>4</v>
      </c>
      <c r="J15" s="24">
        <v>0</v>
      </c>
      <c r="K15" s="24">
        <v>0</v>
      </c>
      <c r="L15" s="24">
        <v>0</v>
      </c>
      <c r="M15" s="24">
        <f t="shared" si="0"/>
        <v>4</v>
      </c>
      <c r="N15" s="24">
        <f t="shared" si="1"/>
        <v>0.5</v>
      </c>
      <c r="O15" s="5" t="s">
        <v>7</v>
      </c>
    </row>
    <row r="16" spans="1:15" x14ac:dyDescent="0.25">
      <c r="A16" s="20">
        <v>15953</v>
      </c>
      <c r="B16" s="5" t="s">
        <v>203</v>
      </c>
      <c r="C16" s="5" t="s">
        <v>204</v>
      </c>
      <c r="D16" s="5" t="s">
        <v>205</v>
      </c>
      <c r="E16" s="5" t="s">
        <v>70</v>
      </c>
      <c r="F16" s="24">
        <v>17.100000000000001</v>
      </c>
      <c r="G16" s="21">
        <v>46216</v>
      </c>
      <c r="H16" s="21">
        <v>46217</v>
      </c>
      <c r="I16" s="24">
        <v>2</v>
      </c>
      <c r="J16" s="24">
        <v>2</v>
      </c>
      <c r="K16" s="24">
        <v>0</v>
      </c>
      <c r="L16" s="24">
        <v>0</v>
      </c>
      <c r="M16" s="24">
        <f t="shared" si="0"/>
        <v>4</v>
      </c>
      <c r="N16" s="24">
        <f t="shared" si="1"/>
        <v>0.5</v>
      </c>
      <c r="O16" s="5" t="s">
        <v>7</v>
      </c>
    </row>
    <row r="17" spans="1:15" x14ac:dyDescent="0.25">
      <c r="A17" s="20">
        <v>15375</v>
      </c>
      <c r="B17" s="5" t="s">
        <v>197</v>
      </c>
      <c r="C17" s="5" t="s">
        <v>206</v>
      </c>
      <c r="D17" s="5" t="s">
        <v>207</v>
      </c>
      <c r="E17" s="5" t="s">
        <v>70</v>
      </c>
      <c r="F17" s="24">
        <v>17.100000000000001</v>
      </c>
      <c r="G17" s="21">
        <v>46217</v>
      </c>
      <c r="H17" s="21">
        <v>46217</v>
      </c>
      <c r="I17" s="24">
        <v>2</v>
      </c>
      <c r="J17" s="24">
        <v>0</v>
      </c>
      <c r="K17" s="24">
        <v>0</v>
      </c>
      <c r="L17" s="24">
        <v>0</v>
      </c>
      <c r="M17" s="24">
        <f t="shared" si="0"/>
        <v>2</v>
      </c>
      <c r="N17" s="24">
        <f t="shared" si="1"/>
        <v>0.25</v>
      </c>
      <c r="O17" s="5" t="s">
        <v>7</v>
      </c>
    </row>
    <row r="18" spans="1:15" x14ac:dyDescent="0.25">
      <c r="A18" s="20">
        <v>15673</v>
      </c>
      <c r="B18" s="5" t="s">
        <v>197</v>
      </c>
      <c r="C18" s="5" t="s">
        <v>208</v>
      </c>
      <c r="D18" s="5" t="s">
        <v>209</v>
      </c>
      <c r="E18" s="5" t="s">
        <v>70</v>
      </c>
      <c r="F18" s="24">
        <v>17.100000000000001</v>
      </c>
      <c r="G18" s="21">
        <v>46217</v>
      </c>
      <c r="H18" s="21">
        <v>46217</v>
      </c>
      <c r="I18" s="24">
        <v>1</v>
      </c>
      <c r="J18" s="24">
        <v>0</v>
      </c>
      <c r="K18" s="24">
        <v>0</v>
      </c>
      <c r="L18" s="24">
        <v>0</v>
      </c>
      <c r="M18" s="24">
        <f t="shared" si="0"/>
        <v>1</v>
      </c>
      <c r="N18" s="24">
        <f t="shared" si="1"/>
        <v>0.125</v>
      </c>
      <c r="O18" s="5" t="s">
        <v>7</v>
      </c>
    </row>
    <row r="19" spans="1:15" x14ac:dyDescent="0.25">
      <c r="A19" s="20">
        <v>15571</v>
      </c>
      <c r="B19" s="5" t="s">
        <v>197</v>
      </c>
      <c r="C19" s="5" t="s">
        <v>210</v>
      </c>
      <c r="D19" s="5" t="s">
        <v>211</v>
      </c>
      <c r="E19" s="5" t="s">
        <v>212</v>
      </c>
      <c r="F19" s="24">
        <v>17.2</v>
      </c>
      <c r="G19" s="21">
        <v>46218</v>
      </c>
      <c r="H19" s="21">
        <v>46218</v>
      </c>
      <c r="I19" s="24">
        <v>1</v>
      </c>
      <c r="J19" s="24">
        <v>0</v>
      </c>
      <c r="K19" s="24">
        <v>0</v>
      </c>
      <c r="L19" s="24">
        <v>0</v>
      </c>
      <c r="M19" s="24">
        <f t="shared" si="0"/>
        <v>1</v>
      </c>
      <c r="N19" s="24">
        <f t="shared" si="1"/>
        <v>0.125</v>
      </c>
      <c r="O19" s="5" t="s">
        <v>7</v>
      </c>
    </row>
    <row r="20" spans="1:15" x14ac:dyDescent="0.25">
      <c r="A20" s="20">
        <v>15689</v>
      </c>
      <c r="B20" s="5" t="s">
        <v>197</v>
      </c>
      <c r="C20" s="5" t="s">
        <v>213</v>
      </c>
      <c r="D20" s="5" t="s">
        <v>214</v>
      </c>
      <c r="E20" s="5" t="s">
        <v>70</v>
      </c>
      <c r="F20" s="24">
        <v>17.100000000000001</v>
      </c>
      <c r="G20" s="21">
        <v>46218</v>
      </c>
      <c r="H20" s="21">
        <v>46235</v>
      </c>
      <c r="I20" s="24">
        <v>2</v>
      </c>
      <c r="J20" s="24">
        <v>1</v>
      </c>
      <c r="K20" s="24">
        <v>0</v>
      </c>
      <c r="L20" s="24">
        <v>0</v>
      </c>
      <c r="M20" s="24">
        <f t="shared" si="0"/>
        <v>3</v>
      </c>
      <c r="N20" s="24">
        <f t="shared" si="1"/>
        <v>0.375</v>
      </c>
      <c r="O20" s="5" t="s">
        <v>7</v>
      </c>
    </row>
    <row r="21" spans="1:15" x14ac:dyDescent="0.25">
      <c r="A21" s="20">
        <v>14077</v>
      </c>
      <c r="B21" s="5" t="s">
        <v>215</v>
      </c>
      <c r="C21" s="5" t="s">
        <v>216</v>
      </c>
      <c r="D21" s="5" t="s">
        <v>217</v>
      </c>
      <c r="E21" s="5" t="s">
        <v>162</v>
      </c>
      <c r="F21" s="5"/>
      <c r="G21" s="21">
        <v>46218</v>
      </c>
      <c r="H21" s="5"/>
      <c r="I21" s="5"/>
      <c r="J21" s="5"/>
      <c r="K21" s="5"/>
      <c r="L21" s="5"/>
      <c r="M21" s="24">
        <f t="shared" si="0"/>
        <v>0</v>
      </c>
      <c r="N21" s="24">
        <f t="shared" si="1"/>
        <v>0</v>
      </c>
      <c r="O21" s="5" t="s">
        <v>7</v>
      </c>
    </row>
    <row r="22" spans="1:15" x14ac:dyDescent="0.25">
      <c r="A22" s="20">
        <v>15689</v>
      </c>
      <c r="B22" s="5" t="s">
        <v>197</v>
      </c>
      <c r="C22" s="5" t="s">
        <v>218</v>
      </c>
      <c r="D22" s="5" t="s">
        <v>214</v>
      </c>
      <c r="E22" s="5" t="s">
        <v>70</v>
      </c>
      <c r="F22" s="5"/>
      <c r="G22" s="21">
        <v>46219</v>
      </c>
      <c r="H22" s="21">
        <v>46235</v>
      </c>
      <c r="I22" s="24">
        <v>2</v>
      </c>
      <c r="J22" s="24">
        <v>1</v>
      </c>
      <c r="K22" s="24">
        <v>0</v>
      </c>
      <c r="L22" s="24">
        <v>0</v>
      </c>
      <c r="M22" s="24">
        <f t="shared" si="0"/>
        <v>3</v>
      </c>
      <c r="N22" s="24">
        <f t="shared" si="1"/>
        <v>0.375</v>
      </c>
      <c r="O22" s="5" t="s">
        <v>7</v>
      </c>
    </row>
    <row r="23" spans="1:15" x14ac:dyDescent="0.25">
      <c r="A23" s="20">
        <v>15846</v>
      </c>
      <c r="B23" s="5" t="s">
        <v>219</v>
      </c>
      <c r="C23" s="5" t="s">
        <v>220</v>
      </c>
      <c r="D23" s="5" t="s">
        <v>221</v>
      </c>
      <c r="E23" s="5" t="s">
        <v>70</v>
      </c>
      <c r="F23" s="5"/>
      <c r="G23" s="21">
        <v>46219</v>
      </c>
      <c r="H23" s="21">
        <v>46232</v>
      </c>
      <c r="I23" s="24">
        <v>1</v>
      </c>
      <c r="J23" s="24">
        <v>1</v>
      </c>
      <c r="K23" s="5"/>
      <c r="L23" s="5"/>
      <c r="M23" s="24">
        <f t="shared" si="0"/>
        <v>2</v>
      </c>
      <c r="N23" s="24">
        <f t="shared" si="1"/>
        <v>0.25</v>
      </c>
      <c r="O23" s="5" t="s">
        <v>7</v>
      </c>
    </row>
    <row r="24" spans="1:15" x14ac:dyDescent="0.25">
      <c r="A24" s="20">
        <v>15853</v>
      </c>
      <c r="B24" s="5" t="s">
        <v>222</v>
      </c>
      <c r="C24" s="5" t="s">
        <v>223</v>
      </c>
      <c r="D24" s="5" t="s">
        <v>224</v>
      </c>
      <c r="E24" s="5" t="s">
        <v>70</v>
      </c>
      <c r="F24" s="5"/>
      <c r="G24" s="21">
        <v>46223</v>
      </c>
      <c r="H24" s="21">
        <v>46235</v>
      </c>
      <c r="I24" s="24">
        <v>2</v>
      </c>
      <c r="J24" s="24">
        <v>1</v>
      </c>
      <c r="K24" s="5"/>
      <c r="L24" s="5"/>
      <c r="M24" s="24">
        <f t="shared" si="0"/>
        <v>3</v>
      </c>
      <c r="N24" s="24">
        <f t="shared" si="1"/>
        <v>0.375</v>
      </c>
      <c r="O24" s="5" t="s">
        <v>7</v>
      </c>
    </row>
    <row r="25" spans="1:15" x14ac:dyDescent="0.25">
      <c r="A25" s="20" t="s">
        <v>225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24">
        <f t="shared" si="0"/>
        <v>0</v>
      </c>
      <c r="N25" s="24">
        <f t="shared" si="1"/>
        <v>0</v>
      </c>
      <c r="O25" s="5"/>
    </row>
    <row r="26" spans="1:15" x14ac:dyDescent="0.25">
      <c r="A26" s="20">
        <v>15135</v>
      </c>
      <c r="B26" s="5" t="s">
        <v>180</v>
      </c>
      <c r="C26" s="5" t="s">
        <v>226</v>
      </c>
      <c r="D26" s="5" t="s">
        <v>227</v>
      </c>
      <c r="E26" s="5" t="s">
        <v>70</v>
      </c>
      <c r="F26" s="5"/>
      <c r="G26" s="21">
        <v>46226</v>
      </c>
      <c r="H26" s="21">
        <v>46235</v>
      </c>
      <c r="I26" s="24">
        <v>2</v>
      </c>
      <c r="J26" s="24">
        <v>1</v>
      </c>
      <c r="K26" s="5"/>
      <c r="L26" s="5"/>
      <c r="M26" s="24">
        <f t="shared" si="0"/>
        <v>3</v>
      </c>
      <c r="N26" s="24">
        <f t="shared" si="1"/>
        <v>0.375</v>
      </c>
      <c r="O26" s="5" t="s">
        <v>7</v>
      </c>
    </row>
    <row r="27" spans="1:15" x14ac:dyDescent="0.25">
      <c r="A27" s="20">
        <v>15933</v>
      </c>
      <c r="B27" s="5" t="s">
        <v>197</v>
      </c>
      <c r="C27" s="5" t="s">
        <v>228</v>
      </c>
      <c r="D27" s="5" t="s">
        <v>229</v>
      </c>
      <c r="E27" s="5" t="s">
        <v>70</v>
      </c>
      <c r="F27" s="5"/>
      <c r="G27" s="21">
        <v>46226</v>
      </c>
      <c r="H27" s="21">
        <v>46241</v>
      </c>
      <c r="I27" s="24">
        <v>2</v>
      </c>
      <c r="J27" s="24">
        <v>1</v>
      </c>
      <c r="K27" s="24">
        <v>0</v>
      </c>
      <c r="L27" s="24">
        <v>0</v>
      </c>
      <c r="M27" s="24">
        <f t="shared" si="0"/>
        <v>3</v>
      </c>
      <c r="N27" s="24">
        <f t="shared" si="1"/>
        <v>0.375</v>
      </c>
      <c r="O27" s="5" t="s">
        <v>7</v>
      </c>
    </row>
    <row r="28" spans="1:15" x14ac:dyDescent="0.25">
      <c r="A28" s="20">
        <v>16133</v>
      </c>
      <c r="B28" s="5" t="s">
        <v>153</v>
      </c>
      <c r="C28" s="5" t="s">
        <v>230</v>
      </c>
      <c r="D28" s="5" t="s">
        <v>231</v>
      </c>
      <c r="E28" s="5" t="s">
        <v>73</v>
      </c>
      <c r="F28" s="5"/>
      <c r="G28" s="21">
        <v>46238</v>
      </c>
      <c r="H28" s="5"/>
      <c r="I28" s="24">
        <v>2</v>
      </c>
      <c r="J28" s="5"/>
      <c r="K28" s="5"/>
      <c r="L28" s="5"/>
      <c r="M28" s="24">
        <f t="shared" si="0"/>
        <v>2</v>
      </c>
      <c r="N28" s="24">
        <f t="shared" si="1"/>
        <v>0.25</v>
      </c>
      <c r="O28" s="5" t="s">
        <v>8</v>
      </c>
    </row>
    <row r="29" spans="1:15" x14ac:dyDescent="0.25">
      <c r="A29" s="20">
        <v>16237</v>
      </c>
      <c r="B29" s="5" t="s">
        <v>232</v>
      </c>
      <c r="C29" s="5" t="s">
        <v>233</v>
      </c>
      <c r="D29" s="5" t="s">
        <v>234</v>
      </c>
      <c r="E29" s="5" t="s">
        <v>73</v>
      </c>
      <c r="F29" s="5"/>
      <c r="G29" s="21">
        <v>46239</v>
      </c>
      <c r="H29" s="5"/>
      <c r="I29" s="24">
        <v>1</v>
      </c>
      <c r="J29" s="5">
        <v>1</v>
      </c>
      <c r="K29" s="5"/>
      <c r="L29" s="5"/>
      <c r="M29" s="24">
        <f t="shared" si="0"/>
        <v>2</v>
      </c>
      <c r="N29" s="24">
        <f t="shared" si="1"/>
        <v>0.25</v>
      </c>
      <c r="O29" s="5" t="s">
        <v>8</v>
      </c>
    </row>
    <row r="30" spans="1:15" x14ac:dyDescent="0.25">
      <c r="A30" s="20">
        <v>16284</v>
      </c>
      <c r="B30" s="5" t="s">
        <v>235</v>
      </c>
      <c r="C30" s="5" t="s">
        <v>236</v>
      </c>
      <c r="D30" s="5" t="s">
        <v>237</v>
      </c>
      <c r="E30" s="5" t="s">
        <v>73</v>
      </c>
      <c r="F30" s="5"/>
      <c r="G30" s="21">
        <v>46239</v>
      </c>
      <c r="H30" s="5"/>
      <c r="I30" s="24">
        <v>1.5</v>
      </c>
      <c r="J30" s="5"/>
      <c r="K30" s="5"/>
      <c r="L30" s="5"/>
      <c r="M30" s="24">
        <f t="shared" si="0"/>
        <v>1.5</v>
      </c>
      <c r="N30" s="24">
        <f t="shared" si="1"/>
        <v>0.1875</v>
      </c>
      <c r="O30" s="5" t="s">
        <v>8</v>
      </c>
    </row>
    <row r="31" spans="1:15" x14ac:dyDescent="0.25">
      <c r="A31" s="20">
        <v>14941</v>
      </c>
      <c r="B31" s="5" t="s">
        <v>238</v>
      </c>
      <c r="C31" s="5" t="s">
        <v>239</v>
      </c>
      <c r="D31" s="5" t="s">
        <v>240</v>
      </c>
      <c r="E31" s="5" t="s">
        <v>70</v>
      </c>
      <c r="F31" s="5"/>
      <c r="G31" s="21">
        <v>46239</v>
      </c>
      <c r="H31" s="21">
        <v>46239</v>
      </c>
      <c r="I31" s="24">
        <v>1</v>
      </c>
      <c r="J31" s="24">
        <v>0</v>
      </c>
      <c r="K31" s="24">
        <v>0</v>
      </c>
      <c r="L31" s="24">
        <v>0</v>
      </c>
      <c r="M31" s="24">
        <f t="shared" si="0"/>
        <v>1</v>
      </c>
      <c r="N31" s="24">
        <f t="shared" si="1"/>
        <v>0.125</v>
      </c>
      <c r="O31" s="5" t="s">
        <v>8</v>
      </c>
    </row>
    <row r="32" spans="1:15" x14ac:dyDescent="0.25">
      <c r="A32" s="20">
        <v>15994</v>
      </c>
      <c r="B32" s="5" t="s">
        <v>241</v>
      </c>
      <c r="C32" s="5" t="s">
        <v>242</v>
      </c>
      <c r="D32" s="5" t="s">
        <v>243</v>
      </c>
      <c r="E32" s="5" t="s">
        <v>70</v>
      </c>
      <c r="F32" s="5"/>
      <c r="G32" s="21">
        <v>46241</v>
      </c>
      <c r="H32" s="27">
        <v>46268</v>
      </c>
      <c r="I32" s="24">
        <v>2</v>
      </c>
      <c r="J32" s="5">
        <v>1</v>
      </c>
      <c r="K32" s="5"/>
      <c r="L32" s="5"/>
      <c r="M32" s="24">
        <f t="shared" si="0"/>
        <v>3</v>
      </c>
      <c r="N32" s="24">
        <f t="shared" si="1"/>
        <v>0.375</v>
      </c>
      <c r="O32" s="5" t="s">
        <v>8</v>
      </c>
    </row>
    <row r="33" spans="1:15" x14ac:dyDescent="0.25">
      <c r="A33" s="20">
        <v>16220</v>
      </c>
      <c r="B33" s="5" t="s">
        <v>244</v>
      </c>
      <c r="C33" s="5" t="s">
        <v>245</v>
      </c>
      <c r="D33" s="5" t="s">
        <v>246</v>
      </c>
      <c r="E33" s="5" t="s">
        <v>70</v>
      </c>
      <c r="F33" s="5"/>
      <c r="G33" s="21">
        <v>46246</v>
      </c>
      <c r="H33" s="5"/>
      <c r="I33" s="24">
        <v>2</v>
      </c>
      <c r="J33" s="5"/>
      <c r="K33" s="5"/>
      <c r="L33" s="5"/>
      <c r="M33" s="24">
        <f t="shared" si="0"/>
        <v>2</v>
      </c>
      <c r="N33" s="24">
        <f t="shared" si="1"/>
        <v>0.25</v>
      </c>
      <c r="O33" s="5" t="s">
        <v>8</v>
      </c>
    </row>
    <row r="34" spans="1:15" x14ac:dyDescent="0.25">
      <c r="A34" s="20">
        <v>16231</v>
      </c>
      <c r="B34" s="5" t="s">
        <v>247</v>
      </c>
      <c r="C34" s="5" t="s">
        <v>248</v>
      </c>
      <c r="D34" s="5" t="s">
        <v>249</v>
      </c>
      <c r="E34" s="5" t="s">
        <v>70</v>
      </c>
      <c r="F34" s="5"/>
      <c r="G34" s="21">
        <v>46246</v>
      </c>
      <c r="H34" s="5"/>
      <c r="I34" s="24">
        <v>2</v>
      </c>
      <c r="J34" s="5"/>
      <c r="K34" s="5"/>
      <c r="L34" s="5"/>
      <c r="M34" s="24">
        <f t="shared" si="0"/>
        <v>2</v>
      </c>
      <c r="N34" s="24">
        <f t="shared" si="1"/>
        <v>0.25</v>
      </c>
      <c r="O34" s="5" t="s">
        <v>8</v>
      </c>
    </row>
    <row r="35" spans="1:15" x14ac:dyDescent="0.25">
      <c r="A35" s="20">
        <v>16239</v>
      </c>
      <c r="B35" s="5" t="s">
        <v>250</v>
      </c>
      <c r="C35" s="5" t="s">
        <v>251</v>
      </c>
      <c r="D35" s="5" t="s">
        <v>252</v>
      </c>
      <c r="E35" s="5" t="s">
        <v>70</v>
      </c>
      <c r="F35" s="5"/>
      <c r="G35" s="21">
        <v>46246</v>
      </c>
      <c r="H35" s="5"/>
      <c r="I35" s="24">
        <v>1</v>
      </c>
      <c r="J35" s="5"/>
      <c r="K35" s="5"/>
      <c r="L35" s="5"/>
      <c r="M35" s="24">
        <f t="shared" si="0"/>
        <v>1</v>
      </c>
      <c r="N35" s="24">
        <f t="shared" si="1"/>
        <v>0.125</v>
      </c>
      <c r="O35" s="5" t="s">
        <v>8</v>
      </c>
    </row>
    <row r="36" spans="1:15" x14ac:dyDescent="0.25">
      <c r="A36" s="20">
        <v>16030</v>
      </c>
      <c r="B36" s="5" t="s">
        <v>336</v>
      </c>
      <c r="C36" s="5" t="s">
        <v>337</v>
      </c>
      <c r="D36" s="5" t="s">
        <v>338</v>
      </c>
      <c r="E36" s="5" t="s">
        <v>70</v>
      </c>
      <c r="F36" s="5"/>
      <c r="G36" s="27">
        <v>46258</v>
      </c>
      <c r="H36" s="37">
        <v>46268</v>
      </c>
      <c r="I36" s="5">
        <v>1</v>
      </c>
      <c r="J36" s="5">
        <v>1</v>
      </c>
      <c r="K36" s="5"/>
      <c r="L36" s="5"/>
      <c r="M36" s="24">
        <f t="shared" si="0"/>
        <v>2</v>
      </c>
      <c r="N36" s="24">
        <f t="shared" si="1"/>
        <v>0.25</v>
      </c>
      <c r="O36" s="5" t="s">
        <v>8</v>
      </c>
    </row>
    <row r="37" spans="1:15" x14ac:dyDescent="0.25">
      <c r="A37" s="20">
        <v>16078</v>
      </c>
      <c r="B37" s="35" t="s">
        <v>339</v>
      </c>
      <c r="C37" s="5" t="s">
        <v>340</v>
      </c>
      <c r="D37" s="5" t="s">
        <v>341</v>
      </c>
      <c r="E37" s="5" t="s">
        <v>70</v>
      </c>
      <c r="F37" s="5"/>
      <c r="G37" s="27">
        <v>46258</v>
      </c>
      <c r="H37" s="5"/>
      <c r="I37" s="5">
        <v>1</v>
      </c>
      <c r="J37" s="5"/>
      <c r="K37" s="5"/>
      <c r="L37" s="5"/>
      <c r="M37" s="24">
        <f t="shared" si="0"/>
        <v>1</v>
      </c>
      <c r="N37" s="24">
        <f t="shared" si="1"/>
        <v>0.125</v>
      </c>
      <c r="O37" s="5" t="s">
        <v>8</v>
      </c>
    </row>
    <row r="38" spans="1:15" x14ac:dyDescent="0.25">
      <c r="A38" s="20">
        <v>16345</v>
      </c>
      <c r="B38" s="36" t="s">
        <v>351</v>
      </c>
      <c r="C38" s="30" t="s">
        <v>350</v>
      </c>
      <c r="D38" s="5" t="s">
        <v>349</v>
      </c>
      <c r="E38" s="5" t="s">
        <v>70</v>
      </c>
      <c r="F38" s="5"/>
      <c r="G38" s="27">
        <v>46268</v>
      </c>
      <c r="H38" s="27">
        <v>46274</v>
      </c>
      <c r="I38" s="5">
        <v>1</v>
      </c>
      <c r="J38" s="5">
        <v>1</v>
      </c>
      <c r="K38" s="5"/>
      <c r="L38" s="5"/>
      <c r="M38" s="24">
        <f t="shared" si="0"/>
        <v>2</v>
      </c>
      <c r="N38" s="24">
        <f t="shared" si="1"/>
        <v>0.25</v>
      </c>
      <c r="O38" s="5" t="s">
        <v>9</v>
      </c>
    </row>
    <row r="39" spans="1:15" x14ac:dyDescent="0.25">
      <c r="A39" s="20">
        <v>16414</v>
      </c>
      <c r="B39" s="5" t="s">
        <v>354</v>
      </c>
      <c r="C39" s="5" t="s">
        <v>353</v>
      </c>
      <c r="D39" s="5" t="s">
        <v>352</v>
      </c>
      <c r="E39" s="5" t="s">
        <v>73</v>
      </c>
      <c r="F39" s="5"/>
      <c r="G39" s="27">
        <v>46268</v>
      </c>
      <c r="H39" s="5"/>
      <c r="I39" s="5">
        <v>1</v>
      </c>
      <c r="J39" s="5"/>
      <c r="K39" s="5"/>
      <c r="L39" s="5"/>
      <c r="M39" s="24">
        <f t="shared" si="0"/>
        <v>1</v>
      </c>
      <c r="N39" s="24">
        <f t="shared" si="1"/>
        <v>0.125</v>
      </c>
      <c r="O39" s="5" t="s">
        <v>9</v>
      </c>
    </row>
    <row r="40" spans="1:15" ht="16.5" x14ac:dyDescent="0.3">
      <c r="A40" s="20">
        <v>15962</v>
      </c>
      <c r="B40" s="5" t="s">
        <v>197</v>
      </c>
      <c r="C40" s="38" t="s">
        <v>355</v>
      </c>
      <c r="D40" s="5" t="s">
        <v>356</v>
      </c>
      <c r="E40" s="5" t="s">
        <v>70</v>
      </c>
      <c r="F40" s="5"/>
      <c r="G40" s="27">
        <v>46268</v>
      </c>
      <c r="H40" s="5"/>
      <c r="I40" s="5">
        <v>1</v>
      </c>
      <c r="J40" s="5"/>
      <c r="K40" s="5"/>
      <c r="L40" s="5"/>
      <c r="M40" s="24">
        <f t="shared" si="0"/>
        <v>1</v>
      </c>
      <c r="N40" s="24">
        <f t="shared" si="1"/>
        <v>0.125</v>
      </c>
      <c r="O40" s="5" t="s">
        <v>357</v>
      </c>
    </row>
    <row r="41" spans="1:15" x14ac:dyDescent="0.25">
      <c r="A41" s="20">
        <v>16348</v>
      </c>
      <c r="B41" s="30" t="s">
        <v>368</v>
      </c>
      <c r="C41" s="30" t="s">
        <v>369</v>
      </c>
      <c r="D41" s="30" t="s">
        <v>370</v>
      </c>
      <c r="E41" s="5" t="s">
        <v>73</v>
      </c>
      <c r="F41" s="5"/>
      <c r="G41" s="27">
        <v>46274</v>
      </c>
      <c r="H41" s="5"/>
      <c r="I41" s="5">
        <v>1</v>
      </c>
      <c r="J41" s="5"/>
      <c r="K41" s="5"/>
      <c r="L41" s="5"/>
      <c r="M41" s="24">
        <f t="shared" si="0"/>
        <v>1</v>
      </c>
      <c r="N41" s="24">
        <f t="shared" si="1"/>
        <v>0.125</v>
      </c>
      <c r="O41" s="5" t="s">
        <v>9</v>
      </c>
    </row>
    <row r="42" spans="1:15" ht="16.5" x14ac:dyDescent="0.3">
      <c r="A42" s="20">
        <v>16334</v>
      </c>
      <c r="B42" s="30" t="s">
        <v>371</v>
      </c>
      <c r="C42" s="39" t="s">
        <v>372</v>
      </c>
      <c r="D42" s="39" t="s">
        <v>373</v>
      </c>
      <c r="E42" s="5" t="s">
        <v>73</v>
      </c>
      <c r="F42" s="5"/>
      <c r="G42" s="27">
        <v>46274</v>
      </c>
      <c r="H42" s="5"/>
      <c r="I42" s="5">
        <v>1</v>
      </c>
      <c r="J42" s="5"/>
      <c r="K42" s="5"/>
      <c r="L42" s="5"/>
      <c r="M42" s="24">
        <f t="shared" si="0"/>
        <v>1</v>
      </c>
      <c r="N42" s="24">
        <f t="shared" si="1"/>
        <v>0.125</v>
      </c>
      <c r="O42" s="5" t="s">
        <v>9</v>
      </c>
    </row>
    <row r="43" spans="1:15" x14ac:dyDescent="0.25">
      <c r="A43" s="20"/>
      <c r="B43" s="5"/>
      <c r="F43" s="5"/>
      <c r="G43" s="5"/>
      <c r="H43" s="5"/>
      <c r="I43" s="5"/>
      <c r="J43" s="5"/>
      <c r="K43" s="5"/>
      <c r="L43" s="5"/>
      <c r="M43" s="24">
        <f t="shared" si="0"/>
        <v>0</v>
      </c>
      <c r="N43" s="24">
        <f t="shared" si="1"/>
        <v>0</v>
      </c>
      <c r="O43" s="5"/>
    </row>
    <row r="44" spans="1:15" x14ac:dyDescent="0.25">
      <c r="A44" s="20"/>
      <c r="B44" s="5"/>
      <c r="F44" s="5"/>
      <c r="G44" s="5"/>
      <c r="H44" s="5"/>
      <c r="I44" s="5"/>
      <c r="J44" s="5"/>
      <c r="K44" s="5"/>
      <c r="L44" s="5"/>
      <c r="M44" s="24">
        <f t="shared" si="0"/>
        <v>0</v>
      </c>
      <c r="N44" s="24">
        <f t="shared" si="1"/>
        <v>0</v>
      </c>
      <c r="O44" s="5"/>
    </row>
    <row r="45" spans="1:15" x14ac:dyDescent="0.25">
      <c r="A45" s="20">
        <v>14348</v>
      </c>
      <c r="B45" s="5"/>
      <c r="F45" s="5"/>
      <c r="G45" s="5"/>
      <c r="H45" s="5"/>
      <c r="I45" s="5"/>
      <c r="J45" s="5"/>
      <c r="K45" s="5"/>
      <c r="L45" s="5"/>
      <c r="M45" s="24">
        <f t="shared" si="0"/>
        <v>0</v>
      </c>
      <c r="N45" s="24">
        <f t="shared" si="1"/>
        <v>0</v>
      </c>
      <c r="O45" s="5"/>
    </row>
    <row r="46" spans="1:15" x14ac:dyDescent="0.25">
      <c r="A46" s="20"/>
      <c r="B46" s="5"/>
      <c r="F46" s="5"/>
      <c r="G46" s="5"/>
      <c r="H46" s="5"/>
      <c r="I46" s="5"/>
      <c r="J46" s="5"/>
      <c r="K46" s="5"/>
      <c r="L46" s="5"/>
      <c r="M46" s="24">
        <f t="shared" si="0"/>
        <v>0</v>
      </c>
      <c r="N46" s="24">
        <f t="shared" si="1"/>
        <v>0</v>
      </c>
      <c r="O46" s="5"/>
    </row>
    <row r="47" spans="1:15" x14ac:dyDescent="0.25">
      <c r="A47" s="20"/>
      <c r="B47" s="5"/>
      <c r="F47" s="5"/>
      <c r="G47" s="5"/>
      <c r="H47" s="5"/>
      <c r="I47" s="5"/>
      <c r="J47" s="5"/>
      <c r="K47" s="5"/>
      <c r="L47" s="5"/>
      <c r="M47" s="24">
        <f t="shared" si="0"/>
        <v>0</v>
      </c>
      <c r="N47" s="24">
        <f t="shared" si="1"/>
        <v>0</v>
      </c>
      <c r="O47" s="5"/>
    </row>
    <row r="48" spans="1:15" x14ac:dyDescent="0.25">
      <c r="A48" s="20"/>
      <c r="B48" s="5"/>
      <c r="F48" s="5"/>
      <c r="G48" s="5"/>
      <c r="H48" s="5"/>
      <c r="I48" s="5"/>
      <c r="J48" s="5"/>
      <c r="K48" s="5"/>
      <c r="L48" s="5"/>
      <c r="M48" s="24">
        <f t="shared" si="0"/>
        <v>0</v>
      </c>
      <c r="N48" s="24">
        <f t="shared" si="1"/>
        <v>0</v>
      </c>
      <c r="O48" s="5"/>
    </row>
    <row r="49" spans="1:15" x14ac:dyDescent="0.25">
      <c r="A49" s="20"/>
      <c r="B49" s="5"/>
      <c r="F49" s="5"/>
      <c r="G49" s="5"/>
      <c r="H49" s="5"/>
      <c r="I49" s="5"/>
      <c r="J49" s="5"/>
      <c r="K49" s="5"/>
      <c r="L49" s="5"/>
      <c r="M49" s="24">
        <f t="shared" si="0"/>
        <v>0</v>
      </c>
      <c r="N49" s="24">
        <f t="shared" si="1"/>
        <v>0</v>
      </c>
      <c r="O49" s="5"/>
    </row>
    <row r="50" spans="1:15" x14ac:dyDescent="0.25">
      <c r="A50" s="20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24">
        <f t="shared" si="0"/>
        <v>0</v>
      </c>
      <c r="N50" s="24">
        <f t="shared" si="1"/>
        <v>0</v>
      </c>
      <c r="O50" s="5"/>
    </row>
    <row r="51" spans="1:15" x14ac:dyDescent="0.25">
      <c r="A51" s="20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24">
        <f t="shared" si="0"/>
        <v>0</v>
      </c>
      <c r="N51" s="24">
        <f t="shared" si="1"/>
        <v>0</v>
      </c>
      <c r="O51" s="5"/>
    </row>
    <row r="52" spans="1:15" x14ac:dyDescent="0.25">
      <c r="A52" s="20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24">
        <f t="shared" si="0"/>
        <v>0</v>
      </c>
      <c r="N52" s="24">
        <f t="shared" si="1"/>
        <v>0</v>
      </c>
      <c r="O52" s="5"/>
    </row>
    <row r="53" spans="1:15" x14ac:dyDescent="0.25">
      <c r="A53" s="20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24">
        <f t="shared" si="0"/>
        <v>0</v>
      </c>
      <c r="N53" s="24">
        <f t="shared" si="1"/>
        <v>0</v>
      </c>
      <c r="O53" s="5"/>
    </row>
    <row r="54" spans="1:15" x14ac:dyDescent="0.25">
      <c r="A54" s="20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24">
        <f t="shared" si="0"/>
        <v>0</v>
      </c>
      <c r="N54" s="24">
        <f t="shared" si="1"/>
        <v>0</v>
      </c>
      <c r="O54" s="5"/>
    </row>
    <row r="55" spans="1:15" x14ac:dyDescent="0.25">
      <c r="A55" s="20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24">
        <f t="shared" si="0"/>
        <v>0</v>
      </c>
      <c r="N55" s="24">
        <f t="shared" si="1"/>
        <v>0</v>
      </c>
      <c r="O55" s="5"/>
    </row>
    <row r="56" spans="1:15" x14ac:dyDescent="0.25">
      <c r="A56" s="20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24">
        <f t="shared" si="0"/>
        <v>0</v>
      </c>
      <c r="N56" s="24">
        <f t="shared" si="1"/>
        <v>0</v>
      </c>
      <c r="O56" s="5"/>
    </row>
    <row r="57" spans="1:15" x14ac:dyDescent="0.25">
      <c r="A57" s="20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24">
        <f t="shared" si="0"/>
        <v>0</v>
      </c>
      <c r="N57" s="24">
        <f t="shared" si="1"/>
        <v>0</v>
      </c>
      <c r="O57" s="5"/>
    </row>
    <row r="58" spans="1:15" x14ac:dyDescent="0.25">
      <c r="A58" s="20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24">
        <f t="shared" si="0"/>
        <v>0</v>
      </c>
      <c r="N58" s="24">
        <f t="shared" si="1"/>
        <v>0</v>
      </c>
      <c r="O58" s="5"/>
    </row>
    <row r="59" spans="1:15" x14ac:dyDescent="0.25">
      <c r="A59" s="20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24">
        <f t="shared" si="0"/>
        <v>0</v>
      </c>
      <c r="N59" s="24">
        <f t="shared" si="1"/>
        <v>0</v>
      </c>
      <c r="O59" s="5"/>
    </row>
    <row r="60" spans="1:15" x14ac:dyDescent="0.25">
      <c r="A60" s="20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24">
        <f t="shared" si="0"/>
        <v>0</v>
      </c>
      <c r="N60" s="24">
        <f t="shared" si="1"/>
        <v>0</v>
      </c>
      <c r="O60" s="5"/>
    </row>
    <row r="61" spans="1:15" x14ac:dyDescent="0.25">
      <c r="A61" s="20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24">
        <f t="shared" si="0"/>
        <v>0</v>
      </c>
      <c r="N61" s="24">
        <f t="shared" si="1"/>
        <v>0</v>
      </c>
      <c r="O61" s="5"/>
    </row>
    <row r="62" spans="1:15" x14ac:dyDescent="0.25">
      <c r="A62" s="20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24">
        <f t="shared" si="0"/>
        <v>0</v>
      </c>
      <c r="N62" s="24">
        <f t="shared" si="1"/>
        <v>0</v>
      </c>
      <c r="O62" s="5"/>
    </row>
    <row r="63" spans="1:15" x14ac:dyDescent="0.25">
      <c r="A63" s="20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24">
        <f t="shared" si="0"/>
        <v>0</v>
      </c>
      <c r="N63" s="24">
        <f t="shared" si="1"/>
        <v>0</v>
      </c>
      <c r="O63" s="5"/>
    </row>
    <row r="64" spans="1:15" x14ac:dyDescent="0.25">
      <c r="A64" s="20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24">
        <f t="shared" si="0"/>
        <v>0</v>
      </c>
      <c r="N64" s="24">
        <f t="shared" si="1"/>
        <v>0</v>
      </c>
      <c r="O64" s="5"/>
    </row>
    <row r="65" spans="1:15" x14ac:dyDescent="0.25">
      <c r="A65" s="20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24">
        <f t="shared" si="0"/>
        <v>0</v>
      </c>
      <c r="N65" s="24">
        <f t="shared" si="1"/>
        <v>0</v>
      </c>
      <c r="O65" s="5"/>
    </row>
    <row r="66" spans="1:15" x14ac:dyDescent="0.25">
      <c r="A66" s="20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24">
        <f t="shared" si="0"/>
        <v>0</v>
      </c>
      <c r="N66" s="24">
        <f t="shared" si="1"/>
        <v>0</v>
      </c>
      <c r="O66" s="5"/>
    </row>
    <row r="67" spans="1:15" x14ac:dyDescent="0.25">
      <c r="A67" s="20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24">
        <f t="shared" si="0"/>
        <v>0</v>
      </c>
      <c r="N67" s="24">
        <f t="shared" si="1"/>
        <v>0</v>
      </c>
      <c r="O67" s="5"/>
    </row>
    <row r="68" spans="1:15" x14ac:dyDescent="0.25">
      <c r="A68" s="20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24">
        <f t="shared" si="0"/>
        <v>0</v>
      </c>
      <c r="N68" s="24">
        <f t="shared" si="1"/>
        <v>0</v>
      </c>
      <c r="O68" s="5"/>
    </row>
    <row r="69" spans="1:15" x14ac:dyDescent="0.25">
      <c r="A69" s="20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24">
        <f t="shared" si="0"/>
        <v>0</v>
      </c>
      <c r="N69" s="24">
        <f t="shared" si="1"/>
        <v>0</v>
      </c>
      <c r="O69" s="5"/>
    </row>
    <row r="70" spans="1:15" x14ac:dyDescent="0.25">
      <c r="A70" s="20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24">
        <f t="shared" si="0"/>
        <v>0</v>
      </c>
      <c r="N70" s="24">
        <f t="shared" si="1"/>
        <v>0</v>
      </c>
      <c r="O70" s="5"/>
    </row>
    <row r="71" spans="1:15" x14ac:dyDescent="0.25">
      <c r="A71" s="20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24">
        <f t="shared" si="0"/>
        <v>0</v>
      </c>
      <c r="N71" s="24">
        <f t="shared" si="1"/>
        <v>0</v>
      </c>
      <c r="O71" s="5"/>
    </row>
    <row r="72" spans="1:15" x14ac:dyDescent="0.25">
      <c r="A72" s="20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24">
        <f t="shared" si="0"/>
        <v>0</v>
      </c>
      <c r="N72" s="24">
        <f t="shared" si="1"/>
        <v>0</v>
      </c>
      <c r="O72" s="5"/>
    </row>
    <row r="73" spans="1:15" x14ac:dyDescent="0.25">
      <c r="A73" s="20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24">
        <f t="shared" si="0"/>
        <v>0</v>
      </c>
      <c r="N73" s="24">
        <f t="shared" si="1"/>
        <v>0</v>
      </c>
      <c r="O73" s="5"/>
    </row>
    <row r="74" spans="1:15" x14ac:dyDescent="0.25">
      <c r="A74" s="20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24">
        <f t="shared" si="0"/>
        <v>0</v>
      </c>
      <c r="N74" s="24">
        <f t="shared" si="1"/>
        <v>0</v>
      </c>
      <c r="O74" s="5"/>
    </row>
    <row r="75" spans="1:15" x14ac:dyDescent="0.25">
      <c r="A75" s="20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24">
        <f t="shared" si="0"/>
        <v>0</v>
      </c>
      <c r="N75" s="24">
        <f t="shared" si="1"/>
        <v>0</v>
      </c>
      <c r="O75" s="5"/>
    </row>
    <row r="76" spans="1:15" x14ac:dyDescent="0.25">
      <c r="A76" s="20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24">
        <f t="shared" si="0"/>
        <v>0</v>
      </c>
      <c r="N76" s="24">
        <f t="shared" si="1"/>
        <v>0</v>
      </c>
      <c r="O76" s="5"/>
    </row>
    <row r="77" spans="1:15" x14ac:dyDescent="0.25">
      <c r="A77" s="20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24">
        <f t="shared" ref="M77:M84" si="2">SUM(I77+J77+K77+L77)</f>
        <v>0</v>
      </c>
      <c r="N77" s="24">
        <f t="shared" ref="N77:N134" si="3">SUM(M77/8)</f>
        <v>0</v>
      </c>
      <c r="O77" s="5"/>
    </row>
    <row r="78" spans="1:15" x14ac:dyDescent="0.25">
      <c r="A78" s="20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24">
        <f t="shared" si="2"/>
        <v>0</v>
      </c>
      <c r="N78" s="24">
        <f t="shared" si="3"/>
        <v>0</v>
      </c>
      <c r="O78" s="5"/>
    </row>
    <row r="79" spans="1:15" x14ac:dyDescent="0.25">
      <c r="A79" s="20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24">
        <f t="shared" si="2"/>
        <v>0</v>
      </c>
      <c r="N79" s="24">
        <f t="shared" si="3"/>
        <v>0</v>
      </c>
      <c r="O79" s="5"/>
    </row>
    <row r="80" spans="1:15" x14ac:dyDescent="0.25">
      <c r="A80" s="20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24">
        <f t="shared" si="2"/>
        <v>0</v>
      </c>
      <c r="N80" s="24">
        <f t="shared" si="3"/>
        <v>0</v>
      </c>
      <c r="O80" s="5"/>
    </row>
    <row r="81" spans="1:15" x14ac:dyDescent="0.25">
      <c r="A81" s="20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24">
        <f t="shared" si="2"/>
        <v>0</v>
      </c>
      <c r="N81" s="24">
        <f t="shared" si="3"/>
        <v>0</v>
      </c>
      <c r="O81" s="5"/>
    </row>
    <row r="82" spans="1:15" x14ac:dyDescent="0.25">
      <c r="A82" s="20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24">
        <f t="shared" si="2"/>
        <v>0</v>
      </c>
      <c r="N82" s="24">
        <f t="shared" si="3"/>
        <v>0</v>
      </c>
      <c r="O82" s="5"/>
    </row>
    <row r="83" spans="1:15" x14ac:dyDescent="0.25">
      <c r="A83" s="20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24">
        <f t="shared" si="2"/>
        <v>0</v>
      </c>
      <c r="N83" s="24">
        <f t="shared" si="3"/>
        <v>0</v>
      </c>
      <c r="O83" s="5"/>
    </row>
    <row r="84" spans="1:15" x14ac:dyDescent="0.25">
      <c r="A84" s="20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24">
        <f t="shared" si="2"/>
        <v>0</v>
      </c>
      <c r="N84" s="24">
        <f t="shared" si="3"/>
        <v>0</v>
      </c>
      <c r="O84" s="5"/>
    </row>
    <row r="85" spans="1:15" x14ac:dyDescent="0.25">
      <c r="A85" s="20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24">
        <f t="shared" si="3"/>
        <v>0</v>
      </c>
      <c r="O85" s="5"/>
    </row>
    <row r="86" spans="1:15" x14ac:dyDescent="0.25">
      <c r="A86" s="20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24">
        <f t="shared" si="3"/>
        <v>0</v>
      </c>
      <c r="O86" s="5"/>
    </row>
    <row r="87" spans="1:15" x14ac:dyDescent="0.25">
      <c r="A87" s="20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24">
        <f t="shared" si="3"/>
        <v>0</v>
      </c>
      <c r="O87" s="5"/>
    </row>
    <row r="88" spans="1:15" x14ac:dyDescent="0.25">
      <c r="A88" s="20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24">
        <f t="shared" si="3"/>
        <v>0</v>
      </c>
      <c r="O88" s="5"/>
    </row>
    <row r="89" spans="1:15" x14ac:dyDescent="0.25">
      <c r="A89" s="20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24">
        <f t="shared" si="3"/>
        <v>0</v>
      </c>
      <c r="O89" s="5"/>
    </row>
    <row r="90" spans="1:15" x14ac:dyDescent="0.25">
      <c r="A90" s="20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24">
        <f t="shared" si="3"/>
        <v>0</v>
      </c>
      <c r="O90" s="5"/>
    </row>
    <row r="91" spans="1:15" x14ac:dyDescent="0.25">
      <c r="A91" s="20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24">
        <f t="shared" si="3"/>
        <v>0</v>
      </c>
      <c r="O91" s="5"/>
    </row>
    <row r="92" spans="1:15" x14ac:dyDescent="0.25">
      <c r="A92" s="20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24">
        <f t="shared" si="3"/>
        <v>0</v>
      </c>
      <c r="O92" s="5"/>
    </row>
    <row r="93" spans="1:15" x14ac:dyDescent="0.25">
      <c r="A93" s="20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24">
        <f t="shared" si="3"/>
        <v>0</v>
      </c>
      <c r="O93" s="5"/>
    </row>
    <row r="94" spans="1:15" x14ac:dyDescent="0.25">
      <c r="A94" s="20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24">
        <f t="shared" si="3"/>
        <v>0</v>
      </c>
      <c r="O94" s="5"/>
    </row>
    <row r="95" spans="1:15" x14ac:dyDescent="0.25">
      <c r="A95" s="20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24">
        <f t="shared" si="3"/>
        <v>0</v>
      </c>
      <c r="O95" s="5"/>
    </row>
    <row r="96" spans="1:15" x14ac:dyDescent="0.25">
      <c r="A96" s="20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24">
        <f t="shared" si="3"/>
        <v>0</v>
      </c>
      <c r="O96" s="5"/>
    </row>
    <row r="97" spans="1:15" x14ac:dyDescent="0.25">
      <c r="A97" s="20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24">
        <f t="shared" si="3"/>
        <v>0</v>
      </c>
      <c r="O97" s="5"/>
    </row>
    <row r="98" spans="1:15" x14ac:dyDescent="0.25">
      <c r="A98" s="20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24">
        <f t="shared" si="3"/>
        <v>0</v>
      </c>
      <c r="O98" s="5"/>
    </row>
    <row r="99" spans="1:15" x14ac:dyDescent="0.25">
      <c r="A99" s="20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24">
        <f t="shared" si="3"/>
        <v>0</v>
      </c>
      <c r="O99" s="5"/>
    </row>
    <row r="100" spans="1:15" x14ac:dyDescent="0.25">
      <c r="A100" s="20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24">
        <f t="shared" si="3"/>
        <v>0</v>
      </c>
      <c r="O100" s="5"/>
    </row>
    <row r="101" spans="1:15" x14ac:dyDescent="0.25">
      <c r="A101" s="20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24">
        <f t="shared" si="3"/>
        <v>0</v>
      </c>
      <c r="O101" s="5"/>
    </row>
    <row r="102" spans="1:15" x14ac:dyDescent="0.25">
      <c r="A102" s="20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24">
        <f t="shared" si="3"/>
        <v>0</v>
      </c>
      <c r="O102" s="5"/>
    </row>
    <row r="103" spans="1:15" x14ac:dyDescent="0.25">
      <c r="A103" s="20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24">
        <f t="shared" si="3"/>
        <v>0</v>
      </c>
      <c r="O103" s="5"/>
    </row>
    <row r="104" spans="1:15" x14ac:dyDescent="0.25">
      <c r="A104" s="20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24">
        <f t="shared" si="3"/>
        <v>0</v>
      </c>
      <c r="O104" s="5"/>
    </row>
    <row r="105" spans="1:15" x14ac:dyDescent="0.25">
      <c r="A105" s="20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24">
        <f t="shared" si="3"/>
        <v>0</v>
      </c>
      <c r="O105" s="5"/>
    </row>
    <row r="106" spans="1:15" x14ac:dyDescent="0.25">
      <c r="A106" s="20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24">
        <f t="shared" si="3"/>
        <v>0</v>
      </c>
      <c r="O106" s="5"/>
    </row>
    <row r="107" spans="1:15" x14ac:dyDescent="0.25">
      <c r="A107" s="20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24">
        <f t="shared" si="3"/>
        <v>0</v>
      </c>
      <c r="O107" s="5"/>
    </row>
    <row r="108" spans="1:15" x14ac:dyDescent="0.25">
      <c r="A108" s="20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24">
        <f t="shared" si="3"/>
        <v>0</v>
      </c>
      <c r="O108" s="5"/>
    </row>
    <row r="109" spans="1:15" x14ac:dyDescent="0.25">
      <c r="A109" s="20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24">
        <f t="shared" si="3"/>
        <v>0</v>
      </c>
      <c r="O109" s="5"/>
    </row>
    <row r="110" spans="1:15" x14ac:dyDescent="0.25">
      <c r="A110" s="20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24">
        <f t="shared" si="3"/>
        <v>0</v>
      </c>
      <c r="O110" s="5"/>
    </row>
    <row r="111" spans="1:15" x14ac:dyDescent="0.25">
      <c r="A111" s="20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24">
        <f t="shared" si="3"/>
        <v>0</v>
      </c>
      <c r="O111" s="5"/>
    </row>
    <row r="112" spans="1:15" x14ac:dyDescent="0.25">
      <c r="A112" s="20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24">
        <f t="shared" si="3"/>
        <v>0</v>
      </c>
      <c r="O112" s="5"/>
    </row>
    <row r="113" spans="1:15" x14ac:dyDescent="0.25">
      <c r="A113" s="20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24">
        <f t="shared" si="3"/>
        <v>0</v>
      </c>
      <c r="O113" s="5"/>
    </row>
    <row r="114" spans="1:15" x14ac:dyDescent="0.25">
      <c r="A114" s="20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24">
        <f t="shared" si="3"/>
        <v>0</v>
      </c>
      <c r="O114" s="5"/>
    </row>
    <row r="115" spans="1:15" x14ac:dyDescent="0.25">
      <c r="A115" s="20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24">
        <f t="shared" si="3"/>
        <v>0</v>
      </c>
      <c r="O115" s="5"/>
    </row>
    <row r="116" spans="1:15" x14ac:dyDescent="0.25">
      <c r="A116" s="20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24">
        <f t="shared" si="3"/>
        <v>0</v>
      </c>
      <c r="O116" s="5"/>
    </row>
    <row r="117" spans="1:15" x14ac:dyDescent="0.25">
      <c r="A117" s="20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24">
        <f t="shared" si="3"/>
        <v>0</v>
      </c>
      <c r="O117" s="5"/>
    </row>
    <row r="118" spans="1:15" x14ac:dyDescent="0.25">
      <c r="A118" s="20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24">
        <f t="shared" si="3"/>
        <v>0</v>
      </c>
      <c r="O118" s="5"/>
    </row>
    <row r="119" spans="1:15" x14ac:dyDescent="0.25">
      <c r="A119" s="20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24">
        <f t="shared" si="3"/>
        <v>0</v>
      </c>
      <c r="O119" s="5"/>
    </row>
    <row r="120" spans="1:15" x14ac:dyDescent="0.25">
      <c r="A120" s="20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24">
        <f t="shared" si="3"/>
        <v>0</v>
      </c>
      <c r="O120" s="5"/>
    </row>
    <row r="121" spans="1:15" x14ac:dyDescent="0.25">
      <c r="A121" s="20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24">
        <f t="shared" si="3"/>
        <v>0</v>
      </c>
      <c r="O121" s="5"/>
    </row>
    <row r="122" spans="1:15" x14ac:dyDescent="0.25">
      <c r="A122" s="20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24">
        <f t="shared" si="3"/>
        <v>0</v>
      </c>
      <c r="O122" s="5"/>
    </row>
    <row r="123" spans="1:15" x14ac:dyDescent="0.25">
      <c r="A123" s="20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24">
        <f t="shared" si="3"/>
        <v>0</v>
      </c>
      <c r="O123" s="5"/>
    </row>
    <row r="124" spans="1:15" x14ac:dyDescent="0.25">
      <c r="A124" s="20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24">
        <f t="shared" si="3"/>
        <v>0</v>
      </c>
      <c r="O124" s="5"/>
    </row>
    <row r="125" spans="1:15" x14ac:dyDescent="0.25">
      <c r="A125" s="20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24">
        <f t="shared" si="3"/>
        <v>0</v>
      </c>
      <c r="O125" s="5"/>
    </row>
    <row r="126" spans="1:15" x14ac:dyDescent="0.25">
      <c r="A126" s="20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24">
        <f t="shared" si="3"/>
        <v>0</v>
      </c>
      <c r="O126" s="5"/>
    </row>
    <row r="127" spans="1:15" x14ac:dyDescent="0.25">
      <c r="A127" s="20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24">
        <f t="shared" si="3"/>
        <v>0</v>
      </c>
      <c r="O127" s="5"/>
    </row>
    <row r="128" spans="1:15" x14ac:dyDescent="0.25">
      <c r="A128" s="20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24">
        <f t="shared" si="3"/>
        <v>0</v>
      </c>
      <c r="O128" s="5"/>
    </row>
    <row r="129" spans="1:15" x14ac:dyDescent="0.25">
      <c r="A129" s="20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24">
        <f t="shared" si="3"/>
        <v>0</v>
      </c>
      <c r="O129" s="5"/>
    </row>
    <row r="130" spans="1:15" x14ac:dyDescent="0.25">
      <c r="A130" s="20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24">
        <f t="shared" si="3"/>
        <v>0</v>
      </c>
      <c r="O130" s="5"/>
    </row>
    <row r="131" spans="1:15" x14ac:dyDescent="0.25">
      <c r="A131" s="20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24">
        <f t="shared" si="3"/>
        <v>0</v>
      </c>
      <c r="O131" s="5"/>
    </row>
    <row r="132" spans="1:15" x14ac:dyDescent="0.25">
      <c r="A132" s="20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24">
        <f t="shared" si="3"/>
        <v>0</v>
      </c>
      <c r="O132" s="5"/>
    </row>
    <row r="133" spans="1:15" x14ac:dyDescent="0.25">
      <c r="A133" s="20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24">
        <f t="shared" si="3"/>
        <v>0</v>
      </c>
      <c r="O133" s="5"/>
    </row>
    <row r="134" spans="1:15" x14ac:dyDescent="0.25">
      <c r="A134" s="20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24">
        <f t="shared" si="3"/>
        <v>0</v>
      </c>
      <c r="O134" s="5"/>
    </row>
    <row r="135" spans="1:15" x14ac:dyDescent="0.25">
      <c r="A135" s="20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24">
        <v>0</v>
      </c>
      <c r="O135" s="5"/>
    </row>
    <row r="136" spans="1:15" x14ac:dyDescent="0.25">
      <c r="A136" s="20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24">
        <v>0</v>
      </c>
      <c r="O136" s="5"/>
    </row>
    <row r="137" spans="1:15" x14ac:dyDescent="0.25">
      <c r="A137" s="20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24">
        <v>0</v>
      </c>
      <c r="O137" s="5"/>
    </row>
    <row r="138" spans="1:15" x14ac:dyDescent="0.25">
      <c r="A138" s="20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24">
        <v>0</v>
      </c>
      <c r="O138" s="5"/>
    </row>
    <row r="139" spans="1:15" x14ac:dyDescent="0.25">
      <c r="A139" s="20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24">
        <v>0</v>
      </c>
      <c r="O139" s="5"/>
    </row>
    <row r="140" spans="1:15" x14ac:dyDescent="0.25">
      <c r="A140" s="20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24">
        <v>0</v>
      </c>
      <c r="O140" s="5"/>
    </row>
    <row r="141" spans="1:15" x14ac:dyDescent="0.25">
      <c r="A141" s="20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24">
        <v>0</v>
      </c>
      <c r="O141" s="5"/>
    </row>
    <row r="142" spans="1:15" x14ac:dyDescent="0.25">
      <c r="A142" s="20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24">
        <v>0</v>
      </c>
      <c r="O142" s="5"/>
    </row>
    <row r="143" spans="1:15" x14ac:dyDescent="0.25">
      <c r="A143" s="20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24">
        <v>0</v>
      </c>
      <c r="O143" s="5"/>
    </row>
    <row r="144" spans="1:15" x14ac:dyDescent="0.25">
      <c r="A144" s="20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24">
        <v>0</v>
      </c>
      <c r="O144" s="5"/>
    </row>
    <row r="145" spans="1:15" x14ac:dyDescent="0.25">
      <c r="A145" s="20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24">
        <v>0</v>
      </c>
      <c r="O145" s="5"/>
    </row>
    <row r="146" spans="1:15" x14ac:dyDescent="0.25">
      <c r="A146" s="20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24">
        <v>0</v>
      </c>
      <c r="O146" s="5"/>
    </row>
    <row r="147" spans="1:15" x14ac:dyDescent="0.25">
      <c r="A147" s="20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24">
        <v>0</v>
      </c>
      <c r="O147" s="5"/>
    </row>
    <row r="148" spans="1:15" x14ac:dyDescent="0.25">
      <c r="A148" s="20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24">
        <v>0</v>
      </c>
      <c r="O148" s="5"/>
    </row>
    <row r="149" spans="1:15" x14ac:dyDescent="0.25">
      <c r="A149" s="20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24">
        <v>0</v>
      </c>
      <c r="O149" s="5"/>
    </row>
    <row r="150" spans="1:15" x14ac:dyDescent="0.25">
      <c r="A150" s="20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24">
        <v>0</v>
      </c>
      <c r="O150" s="5"/>
    </row>
    <row r="151" spans="1:15" x14ac:dyDescent="0.25">
      <c r="A151" s="20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24">
        <v>0</v>
      </c>
      <c r="O151" s="5"/>
    </row>
    <row r="152" spans="1:15" x14ac:dyDescent="0.25">
      <c r="A152" s="20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24">
        <v>0</v>
      </c>
      <c r="O152" s="5"/>
    </row>
    <row r="153" spans="1:15" x14ac:dyDescent="0.25">
      <c r="A153" s="20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24">
        <v>0</v>
      </c>
      <c r="O153" s="5"/>
    </row>
    <row r="154" spans="1:15" x14ac:dyDescent="0.25">
      <c r="A154" s="20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24">
        <v>0</v>
      </c>
      <c r="O154" s="5"/>
    </row>
    <row r="155" spans="1:15" x14ac:dyDescent="0.25">
      <c r="A155" s="20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24">
        <v>0</v>
      </c>
      <c r="O155" s="5"/>
    </row>
    <row r="156" spans="1:15" x14ac:dyDescent="0.25">
      <c r="A156" s="20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24">
        <v>0</v>
      </c>
      <c r="O156" s="5"/>
    </row>
    <row r="157" spans="1:15" x14ac:dyDescent="0.25">
      <c r="A157" s="20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24">
        <v>0</v>
      </c>
      <c r="O157" s="5"/>
    </row>
    <row r="158" spans="1:15" x14ac:dyDescent="0.25">
      <c r="A158" s="20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24">
        <v>0</v>
      </c>
      <c r="O158" s="5"/>
    </row>
    <row r="159" spans="1:15" x14ac:dyDescent="0.25">
      <c r="A159" s="20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24">
        <v>0</v>
      </c>
      <c r="O159" s="5"/>
    </row>
    <row r="160" spans="1:15" x14ac:dyDescent="0.25">
      <c r="A160" s="20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24">
        <v>0</v>
      </c>
      <c r="O160" s="5"/>
    </row>
    <row r="161" spans="1:15" x14ac:dyDescent="0.25">
      <c r="A161" s="20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24">
        <v>0</v>
      </c>
      <c r="O161" s="5"/>
    </row>
    <row r="162" spans="1:15" x14ac:dyDescent="0.25">
      <c r="A162" s="20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24">
        <v>0</v>
      </c>
      <c r="O162" s="5"/>
    </row>
    <row r="163" spans="1:15" x14ac:dyDescent="0.25">
      <c r="A163" s="20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24">
        <v>0</v>
      </c>
      <c r="O163" s="5"/>
    </row>
    <row r="164" spans="1:15" x14ac:dyDescent="0.25">
      <c r="A164" s="20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24">
        <v>0</v>
      </c>
      <c r="O164" s="5"/>
    </row>
    <row r="165" spans="1:15" x14ac:dyDescent="0.25">
      <c r="A165" s="20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24">
        <v>0</v>
      </c>
      <c r="O165" s="5"/>
    </row>
    <row r="166" spans="1:15" x14ac:dyDescent="0.25">
      <c r="A166" s="20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24">
        <v>0</v>
      </c>
      <c r="O166" s="5"/>
    </row>
    <row r="167" spans="1:15" x14ac:dyDescent="0.25">
      <c r="A167" s="20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24">
        <v>0</v>
      </c>
      <c r="O167" s="5"/>
    </row>
    <row r="168" spans="1:15" x14ac:dyDescent="0.25">
      <c r="A168" s="20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24">
        <v>0</v>
      </c>
      <c r="O168" s="5"/>
    </row>
    <row r="169" spans="1:15" x14ac:dyDescent="0.25">
      <c r="A169" s="20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24">
        <v>0</v>
      </c>
      <c r="O169" s="5"/>
    </row>
    <row r="170" spans="1:15" x14ac:dyDescent="0.25">
      <c r="A170" s="20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24">
        <v>0</v>
      </c>
      <c r="O170" s="5"/>
    </row>
    <row r="171" spans="1:15" x14ac:dyDescent="0.25">
      <c r="A171" s="20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24">
        <v>0</v>
      </c>
      <c r="O171" s="5"/>
    </row>
    <row r="172" spans="1:15" x14ac:dyDescent="0.25">
      <c r="A172" s="20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24">
        <v>0</v>
      </c>
      <c r="O172" s="5"/>
    </row>
    <row r="173" spans="1:15" x14ac:dyDescent="0.25">
      <c r="A173" s="20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24">
        <v>0</v>
      </c>
      <c r="O173" s="5"/>
    </row>
    <row r="174" spans="1:15" x14ac:dyDescent="0.25">
      <c r="A174" s="20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24">
        <v>0</v>
      </c>
      <c r="O174" s="5"/>
    </row>
    <row r="175" spans="1:15" x14ac:dyDescent="0.25">
      <c r="A175" s="20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24">
        <v>0</v>
      </c>
      <c r="O175" s="5"/>
    </row>
    <row r="176" spans="1:15" x14ac:dyDescent="0.25">
      <c r="A176" s="20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24">
        <v>0</v>
      </c>
      <c r="O176" s="5"/>
    </row>
    <row r="177" spans="1:15" x14ac:dyDescent="0.25">
      <c r="A177" s="20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24">
        <v>0</v>
      </c>
      <c r="O177" s="5"/>
    </row>
    <row r="178" spans="1:15" x14ac:dyDescent="0.25">
      <c r="A178" s="20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24">
        <v>0</v>
      </c>
      <c r="O178" s="5"/>
    </row>
    <row r="179" spans="1:15" x14ac:dyDescent="0.25">
      <c r="A179" s="20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24">
        <v>0</v>
      </c>
      <c r="O179" s="5"/>
    </row>
    <row r="180" spans="1:15" x14ac:dyDescent="0.25">
      <c r="A180" s="20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24">
        <v>0</v>
      </c>
      <c r="O180" s="5"/>
    </row>
    <row r="181" spans="1:15" x14ac:dyDescent="0.25">
      <c r="A181" s="20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24">
        <v>0</v>
      </c>
      <c r="O181" s="5"/>
    </row>
    <row r="182" spans="1:15" x14ac:dyDescent="0.25">
      <c r="A182" s="20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24">
        <v>0</v>
      </c>
      <c r="O182" s="5"/>
    </row>
    <row r="183" spans="1:15" x14ac:dyDescent="0.25">
      <c r="A183" s="20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24">
        <v>0</v>
      </c>
      <c r="O183" s="5"/>
    </row>
    <row r="184" spans="1:15" x14ac:dyDescent="0.25">
      <c r="A184" s="20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24">
        <v>0</v>
      </c>
      <c r="O184" s="5"/>
    </row>
    <row r="185" spans="1:15" x14ac:dyDescent="0.25">
      <c r="A185" s="20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24">
        <v>0</v>
      </c>
      <c r="O185" s="5"/>
    </row>
    <row r="186" spans="1:15" x14ac:dyDescent="0.25">
      <c r="A186" s="20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24">
        <v>0</v>
      </c>
      <c r="O186" s="5"/>
    </row>
    <row r="187" spans="1:15" x14ac:dyDescent="0.25">
      <c r="A187" s="20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24">
        <v>0</v>
      </c>
      <c r="O187" s="5"/>
    </row>
    <row r="188" spans="1:15" x14ac:dyDescent="0.25">
      <c r="A188" s="20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24">
        <v>0</v>
      </c>
      <c r="O188" s="5"/>
    </row>
    <row r="189" spans="1:15" x14ac:dyDescent="0.25">
      <c r="A189" s="20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24">
        <v>0</v>
      </c>
      <c r="O189" s="5"/>
    </row>
    <row r="190" spans="1:15" x14ac:dyDescent="0.25">
      <c r="A190" s="20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24">
        <v>0</v>
      </c>
      <c r="O190" s="5"/>
    </row>
    <row r="191" spans="1:15" x14ac:dyDescent="0.25">
      <c r="A191" s="20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24">
        <v>0</v>
      </c>
      <c r="O191" s="5"/>
    </row>
    <row r="192" spans="1:15" x14ac:dyDescent="0.25">
      <c r="A192" s="20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24">
        <v>0</v>
      </c>
      <c r="O192" s="5"/>
    </row>
    <row r="193" spans="1:15" x14ac:dyDescent="0.25">
      <c r="A193" s="20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24">
        <v>0</v>
      </c>
      <c r="O193" s="5"/>
    </row>
    <row r="194" spans="1:15" x14ac:dyDescent="0.25">
      <c r="A194" s="20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24">
        <v>0</v>
      </c>
      <c r="O194" s="5"/>
    </row>
    <row r="195" spans="1:15" x14ac:dyDescent="0.25">
      <c r="A195" s="20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24">
        <v>0</v>
      </c>
      <c r="O195" s="5"/>
    </row>
    <row r="196" spans="1:15" x14ac:dyDescent="0.25">
      <c r="A196" s="20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24">
        <v>0</v>
      </c>
      <c r="O196" s="5"/>
    </row>
    <row r="197" spans="1:15" x14ac:dyDescent="0.25">
      <c r="A197" s="20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24">
        <v>0</v>
      </c>
      <c r="O197" s="5"/>
    </row>
    <row r="198" spans="1:15" x14ac:dyDescent="0.25">
      <c r="A198" s="20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24">
        <v>0</v>
      </c>
      <c r="O198" s="5"/>
    </row>
    <row r="199" spans="1:15" x14ac:dyDescent="0.25">
      <c r="A199" s="20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24">
        <v>0</v>
      </c>
      <c r="O199" s="5"/>
    </row>
    <row r="200" spans="1:15" x14ac:dyDescent="0.25">
      <c r="A200" s="20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24">
        <v>0</v>
      </c>
      <c r="O200" s="5"/>
    </row>
    <row r="201" spans="1:15" x14ac:dyDescent="0.25">
      <c r="A201" s="20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24">
        <v>0</v>
      </c>
      <c r="O201" s="5"/>
    </row>
    <row r="202" spans="1:15" x14ac:dyDescent="0.25">
      <c r="A202" s="20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24">
        <v>0</v>
      </c>
      <c r="O202" s="5"/>
    </row>
    <row r="203" spans="1:15" x14ac:dyDescent="0.25">
      <c r="A203" s="20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24">
        <v>0</v>
      </c>
      <c r="O203" s="5"/>
    </row>
    <row r="204" spans="1:15" x14ac:dyDescent="0.25">
      <c r="A204" s="20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24">
        <v>0</v>
      </c>
      <c r="O204" s="5"/>
    </row>
    <row r="205" spans="1:15" x14ac:dyDescent="0.25">
      <c r="A205" s="20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24">
        <v>0</v>
      </c>
      <c r="O205" s="5"/>
    </row>
    <row r="206" spans="1:15" x14ac:dyDescent="0.25">
      <c r="A206" s="20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24">
        <v>0</v>
      </c>
      <c r="O206" s="5"/>
    </row>
    <row r="207" spans="1:15" x14ac:dyDescent="0.25">
      <c r="A207" s="20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24">
        <v>0</v>
      </c>
      <c r="O207" s="5"/>
    </row>
    <row r="208" spans="1:15" x14ac:dyDescent="0.25">
      <c r="A208" s="20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24">
        <v>0</v>
      </c>
      <c r="O208" s="5"/>
    </row>
    <row r="209" spans="1:15" x14ac:dyDescent="0.25">
      <c r="A209" s="20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24">
        <v>0</v>
      </c>
      <c r="O209" s="5"/>
    </row>
    <row r="210" spans="1:15" x14ac:dyDescent="0.25">
      <c r="A210" s="20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24">
        <v>0</v>
      </c>
      <c r="O210" s="5"/>
    </row>
    <row r="211" spans="1:15" x14ac:dyDescent="0.25">
      <c r="A211" s="20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24">
        <v>0</v>
      </c>
      <c r="O211" s="5"/>
    </row>
    <row r="212" spans="1:15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24">
        <v>0</v>
      </c>
      <c r="O212" s="5"/>
    </row>
    <row r="213" spans="1:15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24">
        <v>0</v>
      </c>
      <c r="O213" s="5"/>
    </row>
    <row r="214" spans="1:15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24">
        <v>0</v>
      </c>
      <c r="O214" s="5"/>
    </row>
    <row r="215" spans="1:15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24">
        <v>0</v>
      </c>
      <c r="O215" s="5"/>
    </row>
    <row r="216" spans="1:15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24">
        <v>0</v>
      </c>
      <c r="O216" s="5"/>
    </row>
    <row r="217" spans="1:15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24">
        <v>0</v>
      </c>
      <c r="O217" s="5"/>
    </row>
    <row r="218" spans="1:15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24">
        <v>0</v>
      </c>
      <c r="O218" s="5"/>
    </row>
    <row r="219" spans="1:15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24">
        <v>0</v>
      </c>
      <c r="O219" s="5"/>
    </row>
    <row r="220" spans="1:15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24">
        <v>0</v>
      </c>
      <c r="O220" s="5"/>
    </row>
    <row r="221" spans="1:15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24">
        <v>0</v>
      </c>
      <c r="O221" s="5"/>
    </row>
    <row r="222" spans="1:15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24">
        <v>0</v>
      </c>
      <c r="O222" s="5"/>
    </row>
    <row r="223" spans="1:15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24">
        <v>0</v>
      </c>
      <c r="O223" s="5"/>
    </row>
    <row r="224" spans="1:15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24">
        <v>0</v>
      </c>
      <c r="O224" s="5"/>
    </row>
    <row r="225" spans="1:15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24">
        <v>0</v>
      </c>
      <c r="O225" s="5"/>
    </row>
    <row r="226" spans="1:15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24">
        <v>0</v>
      </c>
      <c r="O226" s="5"/>
    </row>
    <row r="227" spans="1:15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24">
        <v>0</v>
      </c>
      <c r="O227" s="5"/>
    </row>
    <row r="228" spans="1:15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24">
        <v>0</v>
      </c>
      <c r="O228" s="5"/>
    </row>
    <row r="229" spans="1:15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24">
        <v>0</v>
      </c>
      <c r="O229" s="5"/>
    </row>
    <row r="230" spans="1:15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24">
        <v>0</v>
      </c>
      <c r="O230" s="5"/>
    </row>
    <row r="231" spans="1:15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24">
        <v>0</v>
      </c>
      <c r="O231" s="5"/>
    </row>
    <row r="232" spans="1:15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24">
        <v>0</v>
      </c>
      <c r="O232" s="5"/>
    </row>
    <row r="233" spans="1:15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24">
        <v>0</v>
      </c>
      <c r="O233" s="5"/>
    </row>
    <row r="234" spans="1:15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24">
        <v>0</v>
      </c>
      <c r="O234" s="5"/>
    </row>
    <row r="235" spans="1:15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24">
        <v>0</v>
      </c>
      <c r="O235" s="5"/>
    </row>
    <row r="236" spans="1:15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24">
        <v>0</v>
      </c>
      <c r="O236" s="5"/>
    </row>
    <row r="237" spans="1:15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24">
        <v>0</v>
      </c>
      <c r="O237" s="5"/>
    </row>
    <row r="238" spans="1:15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24">
        <v>0</v>
      </c>
      <c r="O238" s="5"/>
    </row>
    <row r="239" spans="1:15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24">
        <v>0</v>
      </c>
      <c r="O239" s="5"/>
    </row>
    <row r="240" spans="1:15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24">
        <v>0</v>
      </c>
      <c r="O240" s="5"/>
    </row>
    <row r="241" spans="1:15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24">
        <v>0</v>
      </c>
      <c r="O241" s="5"/>
    </row>
    <row r="242" spans="1:15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24">
        <v>0</v>
      </c>
      <c r="O242" s="5"/>
    </row>
    <row r="243" spans="1:15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24">
        <v>0</v>
      </c>
      <c r="O243" s="5"/>
    </row>
    <row r="244" spans="1:15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24">
        <v>0</v>
      </c>
      <c r="O244" s="5"/>
    </row>
    <row r="245" spans="1:15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24">
        <v>0</v>
      </c>
      <c r="O245" s="5"/>
    </row>
    <row r="246" spans="1:15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24">
        <v>0</v>
      </c>
      <c r="O246" s="5"/>
    </row>
    <row r="247" spans="1:15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24">
        <v>0</v>
      </c>
      <c r="O247" s="5"/>
    </row>
    <row r="248" spans="1:15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24">
        <v>0</v>
      </c>
      <c r="O248" s="5"/>
    </row>
    <row r="249" spans="1:15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24">
        <v>0</v>
      </c>
      <c r="O249" s="5"/>
    </row>
    <row r="250" spans="1:15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24">
        <v>0</v>
      </c>
      <c r="O250" s="5"/>
    </row>
    <row r="251" spans="1:15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24">
        <v>0</v>
      </c>
      <c r="O251" s="5"/>
    </row>
    <row r="252" spans="1:15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24">
        <v>0</v>
      </c>
      <c r="O252" s="5"/>
    </row>
    <row r="253" spans="1:15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24">
        <v>0</v>
      </c>
      <c r="O253" s="5"/>
    </row>
    <row r="254" spans="1:15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24">
        <v>0</v>
      </c>
      <c r="O254" s="5"/>
    </row>
    <row r="255" spans="1:15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24">
        <v>0</v>
      </c>
      <c r="O255" s="5"/>
    </row>
    <row r="256" spans="1:15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24">
        <v>0</v>
      </c>
      <c r="O256" s="5"/>
    </row>
    <row r="257" spans="1:15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24">
        <v>0</v>
      </c>
      <c r="O257" s="5"/>
    </row>
    <row r="258" spans="1:15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24">
        <v>0</v>
      </c>
      <c r="O258" s="5"/>
    </row>
    <row r="259" spans="1:15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24">
        <v>0</v>
      </c>
      <c r="O259" s="5"/>
    </row>
    <row r="260" spans="1:15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24">
        <v>0</v>
      </c>
      <c r="O260" s="5"/>
    </row>
    <row r="261" spans="1:15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24">
        <v>0</v>
      </c>
      <c r="O261" s="5"/>
    </row>
    <row r="262" spans="1:15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24">
        <v>0</v>
      </c>
      <c r="O262" s="5"/>
    </row>
    <row r="263" spans="1:15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24">
        <v>0</v>
      </c>
      <c r="O263" s="5"/>
    </row>
    <row r="264" spans="1:15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24">
        <v>0</v>
      </c>
      <c r="O264" s="5"/>
    </row>
    <row r="265" spans="1:15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24">
        <v>0</v>
      </c>
      <c r="O265" s="5"/>
    </row>
    <row r="266" spans="1:15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24">
        <v>0</v>
      </c>
      <c r="O266" s="5"/>
    </row>
    <row r="267" spans="1:15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24">
        <v>0</v>
      </c>
      <c r="O267" s="5"/>
    </row>
    <row r="268" spans="1:15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24">
        <v>0</v>
      </c>
      <c r="O268" s="5"/>
    </row>
    <row r="269" spans="1:15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24">
        <v>0</v>
      </c>
      <c r="O269" s="5"/>
    </row>
    <row r="270" spans="1:15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24">
        <v>0</v>
      </c>
      <c r="O270" s="5"/>
    </row>
    <row r="271" spans="1:15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24">
        <v>0</v>
      </c>
      <c r="O271" s="5"/>
    </row>
    <row r="272" spans="1:15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24">
        <v>0</v>
      </c>
      <c r="O272" s="5"/>
    </row>
    <row r="273" spans="1:15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24">
        <v>0</v>
      </c>
      <c r="O273" s="5"/>
    </row>
    <row r="274" spans="1:15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24">
        <v>0</v>
      </c>
      <c r="O274" s="5"/>
    </row>
    <row r="275" spans="1:15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24">
        <v>0</v>
      </c>
      <c r="O275" s="5"/>
    </row>
    <row r="276" spans="1:15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24">
        <v>0</v>
      </c>
      <c r="O276" s="5"/>
    </row>
    <row r="277" spans="1:15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24">
        <v>0</v>
      </c>
      <c r="O277" s="5"/>
    </row>
    <row r="278" spans="1:15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24">
        <v>0</v>
      </c>
      <c r="O278" s="5"/>
    </row>
    <row r="279" spans="1:15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24">
        <v>0</v>
      </c>
      <c r="O279" s="5"/>
    </row>
    <row r="280" spans="1:15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24">
        <v>0</v>
      </c>
      <c r="O280" s="5"/>
    </row>
    <row r="281" spans="1:15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24">
        <v>0</v>
      </c>
      <c r="O281" s="5"/>
    </row>
    <row r="282" spans="1:15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24">
        <v>0</v>
      </c>
      <c r="O282" s="5"/>
    </row>
    <row r="283" spans="1:15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24">
        <v>0</v>
      </c>
      <c r="O283" s="5"/>
    </row>
    <row r="284" spans="1:15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24">
        <v>0</v>
      </c>
      <c r="O284" s="5"/>
    </row>
    <row r="285" spans="1:15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24">
        <v>0</v>
      </c>
      <c r="O285" s="5"/>
    </row>
    <row r="286" spans="1:15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24">
        <v>0</v>
      </c>
      <c r="O286" s="5"/>
    </row>
    <row r="287" spans="1:15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24">
        <v>0</v>
      </c>
      <c r="O287" s="5"/>
    </row>
    <row r="288" spans="1:15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24">
        <v>0</v>
      </c>
      <c r="O288" s="5"/>
    </row>
    <row r="289" spans="1:15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24">
        <v>0</v>
      </c>
      <c r="O289" s="5"/>
    </row>
    <row r="290" spans="1:15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24">
        <v>0</v>
      </c>
      <c r="O290" s="5"/>
    </row>
    <row r="291" spans="1:15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24">
        <v>0</v>
      </c>
      <c r="O291" s="5"/>
    </row>
    <row r="292" spans="1:15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24">
        <v>0</v>
      </c>
      <c r="O292" s="5"/>
    </row>
    <row r="293" spans="1:15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24">
        <v>0</v>
      </c>
      <c r="O293" s="5"/>
    </row>
    <row r="294" spans="1:15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24">
        <v>0</v>
      </c>
      <c r="O294" s="5"/>
    </row>
    <row r="295" spans="1:15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24">
        <v>0</v>
      </c>
      <c r="O295" s="5"/>
    </row>
    <row r="296" spans="1:15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24">
        <v>0</v>
      </c>
      <c r="O296" s="5"/>
    </row>
    <row r="297" spans="1:15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24">
        <v>0</v>
      </c>
      <c r="O297" s="5"/>
    </row>
    <row r="298" spans="1:15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24">
        <v>0</v>
      </c>
      <c r="O298" s="5"/>
    </row>
    <row r="299" spans="1:15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24">
        <v>0</v>
      </c>
      <c r="O299" s="5"/>
    </row>
    <row r="300" spans="1:15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24">
        <v>0</v>
      </c>
      <c r="O300" s="5"/>
    </row>
    <row r="301" spans="1:15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24">
        <v>0</v>
      </c>
      <c r="O301" s="5"/>
    </row>
    <row r="302" spans="1:15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24">
        <v>0</v>
      </c>
      <c r="O302" s="5"/>
    </row>
    <row r="303" spans="1:15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24">
        <v>0</v>
      </c>
      <c r="O303" s="5"/>
    </row>
    <row r="304" spans="1:15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24">
        <v>0</v>
      </c>
      <c r="O304" s="5"/>
    </row>
    <row r="305" spans="1:15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24">
        <v>0</v>
      </c>
      <c r="O305" s="5"/>
    </row>
    <row r="306" spans="1:15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24">
        <v>0</v>
      </c>
      <c r="O306" s="5"/>
    </row>
    <row r="307" spans="1:15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24">
        <v>0</v>
      </c>
      <c r="O307" s="5"/>
    </row>
    <row r="308" spans="1:15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24">
        <v>0</v>
      </c>
      <c r="O308" s="5"/>
    </row>
    <row r="309" spans="1:15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24">
        <v>0</v>
      </c>
      <c r="O309" s="5"/>
    </row>
    <row r="310" spans="1:15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24">
        <v>0</v>
      </c>
      <c r="O310" s="5"/>
    </row>
    <row r="311" spans="1:15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24">
        <v>0</v>
      </c>
      <c r="O311" s="5"/>
    </row>
    <row r="312" spans="1:15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24">
        <v>0</v>
      </c>
      <c r="O312" s="5"/>
    </row>
    <row r="313" spans="1:15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24">
        <v>0</v>
      </c>
      <c r="O313" s="5"/>
    </row>
    <row r="314" spans="1:15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24">
        <v>0</v>
      </c>
      <c r="O314" s="5"/>
    </row>
    <row r="315" spans="1:15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24">
        <v>0</v>
      </c>
      <c r="O315" s="5"/>
    </row>
    <row r="316" spans="1:15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24">
        <v>0</v>
      </c>
      <c r="O316" s="5"/>
    </row>
    <row r="317" spans="1:15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24">
        <v>0</v>
      </c>
      <c r="O317" s="5"/>
    </row>
    <row r="318" spans="1:15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24">
        <v>0</v>
      </c>
      <c r="O318" s="5"/>
    </row>
    <row r="319" spans="1:15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24">
        <v>0</v>
      </c>
      <c r="O319" s="5"/>
    </row>
    <row r="320" spans="1:15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24">
        <v>0</v>
      </c>
      <c r="O320" s="5"/>
    </row>
    <row r="321" spans="1:15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24">
        <v>0</v>
      </c>
      <c r="O321" s="5"/>
    </row>
    <row r="322" spans="1:15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24">
        <v>0</v>
      </c>
      <c r="O322" s="5"/>
    </row>
    <row r="323" spans="1:15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24">
        <v>0</v>
      </c>
      <c r="O323" s="5"/>
    </row>
    <row r="324" spans="1:15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24">
        <v>0</v>
      </c>
      <c r="O324" s="5"/>
    </row>
    <row r="325" spans="1:15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24">
        <v>0</v>
      </c>
      <c r="O325" s="5"/>
    </row>
    <row r="326" spans="1:15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24">
        <v>0</v>
      </c>
      <c r="O326" s="5"/>
    </row>
    <row r="327" spans="1:15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24">
        <v>0</v>
      </c>
      <c r="O327" s="5"/>
    </row>
    <row r="328" spans="1:15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24">
        <v>0</v>
      </c>
      <c r="O328" s="5"/>
    </row>
    <row r="329" spans="1:15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24">
        <v>0</v>
      </c>
      <c r="O329" s="5"/>
    </row>
    <row r="330" spans="1:15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24">
        <v>0</v>
      </c>
      <c r="O330" s="5"/>
    </row>
    <row r="331" spans="1:15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24">
        <v>0</v>
      </c>
      <c r="O331" s="5"/>
    </row>
    <row r="332" spans="1:15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24">
        <v>0</v>
      </c>
      <c r="O332" s="5"/>
    </row>
    <row r="333" spans="1:15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24">
        <v>0</v>
      </c>
      <c r="O333" s="5"/>
    </row>
    <row r="334" spans="1:15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24">
        <v>0</v>
      </c>
      <c r="O334" s="5"/>
    </row>
    <row r="335" spans="1:15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24">
        <v>0</v>
      </c>
      <c r="O335" s="5"/>
    </row>
    <row r="336" spans="1:15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24">
        <v>0</v>
      </c>
      <c r="O336" s="5"/>
    </row>
    <row r="337" spans="1:15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24">
        <v>0</v>
      </c>
      <c r="O337" s="5"/>
    </row>
    <row r="338" spans="1:15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24">
        <v>0</v>
      </c>
      <c r="O338" s="5"/>
    </row>
    <row r="339" spans="1:15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24">
        <v>0</v>
      </c>
      <c r="O339" s="5"/>
    </row>
    <row r="340" spans="1:15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24">
        <v>0</v>
      </c>
      <c r="O340" s="5"/>
    </row>
    <row r="341" spans="1:15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24">
        <v>0</v>
      </c>
      <c r="O341" s="5"/>
    </row>
    <row r="342" spans="1:15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24">
        <v>0</v>
      </c>
      <c r="O342" s="5"/>
    </row>
    <row r="343" spans="1:15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24">
        <v>0</v>
      </c>
      <c r="O343" s="5"/>
    </row>
    <row r="344" spans="1:15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24">
        <v>0</v>
      </c>
      <c r="O344" s="5"/>
    </row>
    <row r="345" spans="1:15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24">
        <v>0</v>
      </c>
      <c r="O345" s="5"/>
    </row>
    <row r="346" spans="1:15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24">
        <v>0</v>
      </c>
      <c r="O346" s="5"/>
    </row>
    <row r="347" spans="1:15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24">
        <v>0</v>
      </c>
      <c r="O347" s="5"/>
    </row>
    <row r="348" spans="1:15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24">
        <v>0</v>
      </c>
      <c r="O348" s="5"/>
    </row>
    <row r="349" spans="1:15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24">
        <v>0</v>
      </c>
      <c r="O349" s="5"/>
    </row>
    <row r="350" spans="1:15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24">
        <v>0</v>
      </c>
      <c r="O350" s="5"/>
    </row>
    <row r="351" spans="1:15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24">
        <v>0</v>
      </c>
      <c r="O351" s="5"/>
    </row>
    <row r="352" spans="1:15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24">
        <v>0</v>
      </c>
      <c r="O352" s="5"/>
    </row>
    <row r="353" spans="1:15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24">
        <v>0</v>
      </c>
      <c r="O353" s="5"/>
    </row>
    <row r="354" spans="1:15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24">
        <v>0</v>
      </c>
      <c r="O354" s="5"/>
    </row>
    <row r="355" spans="1:15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24">
        <v>0</v>
      </c>
      <c r="O355" s="5"/>
    </row>
    <row r="356" spans="1:15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24">
        <v>0</v>
      </c>
      <c r="O356" s="5"/>
    </row>
    <row r="357" spans="1:15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24">
        <v>0</v>
      </c>
      <c r="O357" s="5"/>
    </row>
    <row r="358" spans="1:15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24">
        <v>0</v>
      </c>
      <c r="O358" s="5"/>
    </row>
    <row r="359" spans="1:15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24">
        <v>0</v>
      </c>
      <c r="O359" s="5"/>
    </row>
    <row r="360" spans="1:15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24">
        <v>0</v>
      </c>
      <c r="O360" s="5"/>
    </row>
    <row r="361" spans="1:15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24">
        <v>0</v>
      </c>
      <c r="O361" s="5"/>
    </row>
    <row r="362" spans="1:15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24">
        <v>0</v>
      </c>
      <c r="O362" s="5"/>
    </row>
    <row r="363" spans="1:15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24">
        <v>0</v>
      </c>
      <c r="O363" s="5"/>
    </row>
    <row r="364" spans="1:15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24">
        <v>0</v>
      </c>
      <c r="O364" s="5"/>
    </row>
    <row r="365" spans="1:15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24">
        <v>0</v>
      </c>
      <c r="O365" s="5"/>
    </row>
    <row r="366" spans="1:15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24">
        <v>0</v>
      </c>
      <c r="O366" s="5"/>
    </row>
    <row r="367" spans="1:15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24">
        <v>0</v>
      </c>
      <c r="O367" s="5"/>
    </row>
    <row r="368" spans="1:15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24">
        <v>0</v>
      </c>
      <c r="O368" s="5"/>
    </row>
    <row r="369" spans="1:15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24">
        <v>0</v>
      </c>
      <c r="O369" s="5"/>
    </row>
    <row r="370" spans="1:15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24">
        <v>0</v>
      </c>
      <c r="O370" s="5"/>
    </row>
    <row r="371" spans="1:15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24">
        <v>0</v>
      </c>
      <c r="O371" s="5"/>
    </row>
    <row r="372" spans="1:15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24">
        <v>0</v>
      </c>
      <c r="O372" s="5"/>
    </row>
    <row r="373" spans="1:15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24">
        <v>0</v>
      </c>
      <c r="O373" s="5"/>
    </row>
    <row r="374" spans="1:15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24">
        <v>0</v>
      </c>
      <c r="O374" s="5"/>
    </row>
    <row r="375" spans="1:15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24">
        <v>0</v>
      </c>
      <c r="O375" s="5"/>
    </row>
    <row r="376" spans="1:15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24">
        <v>0</v>
      </c>
      <c r="O376" s="5"/>
    </row>
    <row r="377" spans="1:15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24">
        <v>0</v>
      </c>
      <c r="O377" s="5"/>
    </row>
    <row r="378" spans="1:15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24">
        <v>0</v>
      </c>
      <c r="O378" s="5"/>
    </row>
    <row r="379" spans="1:15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24">
        <v>0</v>
      </c>
      <c r="O379" s="5"/>
    </row>
    <row r="380" spans="1:15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24">
        <v>0</v>
      </c>
      <c r="O380" s="5"/>
    </row>
    <row r="381" spans="1:15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24">
        <v>0</v>
      </c>
      <c r="O381" s="5"/>
    </row>
    <row r="382" spans="1:15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24">
        <v>0</v>
      </c>
      <c r="O382" s="5"/>
    </row>
    <row r="383" spans="1:15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24">
        <v>0</v>
      </c>
      <c r="O383" s="5"/>
    </row>
    <row r="384" spans="1:15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24">
        <v>0</v>
      </c>
      <c r="O384" s="5"/>
    </row>
    <row r="385" spans="1:15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24">
        <v>0</v>
      </c>
      <c r="O385" s="5"/>
    </row>
    <row r="386" spans="1:15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24">
        <v>0</v>
      </c>
      <c r="O386" s="5"/>
    </row>
    <row r="387" spans="1:15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24">
        <v>0</v>
      </c>
      <c r="O387" s="5"/>
    </row>
    <row r="388" spans="1:15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24">
        <v>0</v>
      </c>
      <c r="O388" s="5"/>
    </row>
    <row r="389" spans="1:15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24">
        <v>0</v>
      </c>
      <c r="O389" s="5"/>
    </row>
    <row r="390" spans="1:15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24">
        <v>0</v>
      </c>
      <c r="O390" s="5"/>
    </row>
    <row r="391" spans="1:15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24">
        <v>0</v>
      </c>
      <c r="O391" s="5"/>
    </row>
    <row r="392" spans="1:15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24">
        <v>0</v>
      </c>
      <c r="O392" s="5"/>
    </row>
    <row r="393" spans="1:15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24">
        <v>0</v>
      </c>
      <c r="O393" s="5"/>
    </row>
    <row r="394" spans="1:15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24">
        <v>0</v>
      </c>
      <c r="O394" s="5"/>
    </row>
    <row r="395" spans="1:15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24">
        <v>0</v>
      </c>
      <c r="O395" s="5"/>
    </row>
    <row r="396" spans="1:15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24">
        <v>0</v>
      </c>
      <c r="O396" s="5"/>
    </row>
    <row r="397" spans="1:15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24">
        <v>0</v>
      </c>
      <c r="O397" s="5"/>
    </row>
    <row r="398" spans="1:15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24">
        <v>0</v>
      </c>
      <c r="O398" s="5"/>
    </row>
    <row r="399" spans="1:15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24">
        <v>0</v>
      </c>
      <c r="O399" s="5"/>
    </row>
    <row r="400" spans="1:15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24">
        <v>0</v>
      </c>
      <c r="O400" s="5"/>
    </row>
    <row r="401" spans="1:15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24">
        <v>0</v>
      </c>
      <c r="O401" s="5"/>
    </row>
    <row r="402" spans="1:15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24">
        <v>0</v>
      </c>
      <c r="O402" s="5"/>
    </row>
    <row r="403" spans="1:15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24">
        <v>0</v>
      </c>
      <c r="O403" s="5"/>
    </row>
    <row r="404" spans="1:15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24">
        <v>0</v>
      </c>
      <c r="O404" s="5"/>
    </row>
    <row r="405" spans="1:15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24">
        <v>0</v>
      </c>
      <c r="O405" s="5"/>
    </row>
    <row r="406" spans="1:15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24">
        <v>0</v>
      </c>
      <c r="O406" s="5"/>
    </row>
    <row r="407" spans="1:15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24">
        <v>0</v>
      </c>
      <c r="O407" s="5"/>
    </row>
    <row r="408" spans="1:15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24">
        <v>0</v>
      </c>
      <c r="O408" s="5"/>
    </row>
    <row r="409" spans="1:15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24">
        <v>0</v>
      </c>
      <c r="O409" s="5"/>
    </row>
    <row r="410" spans="1:15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24">
        <v>0</v>
      </c>
      <c r="O410" s="5"/>
    </row>
    <row r="411" spans="1:15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24">
        <v>0</v>
      </c>
      <c r="O411" s="5"/>
    </row>
    <row r="412" spans="1:15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24">
        <v>0</v>
      </c>
      <c r="O412" s="5"/>
    </row>
    <row r="413" spans="1:15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24">
        <v>0</v>
      </c>
      <c r="O413" s="5"/>
    </row>
    <row r="414" spans="1:15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24">
        <v>0</v>
      </c>
      <c r="O414" s="5"/>
    </row>
    <row r="415" spans="1:15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24">
        <v>0</v>
      </c>
      <c r="O415" s="5"/>
    </row>
    <row r="416" spans="1:15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24">
        <v>0</v>
      </c>
      <c r="O416" s="5"/>
    </row>
    <row r="417" spans="1:15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24">
        <v>0</v>
      </c>
      <c r="O417" s="5"/>
    </row>
    <row r="418" spans="1:15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24">
        <v>0</v>
      </c>
      <c r="O418" s="5"/>
    </row>
    <row r="419" spans="1:15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24">
        <v>0</v>
      </c>
      <c r="O419" s="5"/>
    </row>
    <row r="420" spans="1:15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24">
        <v>0</v>
      </c>
      <c r="O420" s="5"/>
    </row>
    <row r="421" spans="1:15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24">
        <v>0</v>
      </c>
      <c r="O421" s="5"/>
    </row>
    <row r="422" spans="1:15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24">
        <v>0</v>
      </c>
      <c r="O422" s="5"/>
    </row>
    <row r="423" spans="1:15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24">
        <v>0</v>
      </c>
      <c r="O423" s="5"/>
    </row>
    <row r="424" spans="1:15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24">
        <v>0</v>
      </c>
      <c r="O424" s="5"/>
    </row>
    <row r="425" spans="1:15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24">
        <v>0</v>
      </c>
      <c r="O425" s="5"/>
    </row>
    <row r="426" spans="1:15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24">
        <v>0</v>
      </c>
      <c r="O426" s="5"/>
    </row>
    <row r="427" spans="1:15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24">
        <v>0</v>
      </c>
      <c r="O427" s="5"/>
    </row>
    <row r="428" spans="1:15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24">
        <v>0</v>
      </c>
      <c r="O428" s="5"/>
    </row>
    <row r="429" spans="1:15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24">
        <v>0</v>
      </c>
      <c r="O429" s="5"/>
    </row>
    <row r="430" spans="1:15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24">
        <v>0</v>
      </c>
      <c r="O430" s="5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11"/>
  <sheetViews>
    <sheetView topLeftCell="A23" workbookViewId="0">
      <selection activeCell="B50" sqref="B50"/>
    </sheetView>
  </sheetViews>
  <sheetFormatPr defaultColWidth="8.85546875" defaultRowHeight="15" x14ac:dyDescent="0.25"/>
  <cols>
    <col min="1" max="1" width="36" customWidth="1"/>
    <col min="2" max="2" width="50" customWidth="1"/>
    <col min="3" max="3" width="139.42578125" bestFit="1" customWidth="1"/>
    <col min="4" max="4" width="29" customWidth="1"/>
    <col min="5" max="5" width="36" customWidth="1"/>
    <col min="6" max="6" width="50" customWidth="1"/>
    <col min="7" max="7" width="8" customWidth="1"/>
  </cols>
  <sheetData>
    <row r="1" spans="1:7" ht="18.75" x14ac:dyDescent="0.3">
      <c r="A1" s="11" t="s">
        <v>253</v>
      </c>
    </row>
    <row r="2" spans="1:7" x14ac:dyDescent="0.25">
      <c r="A2" s="12" t="s">
        <v>254</v>
      </c>
    </row>
    <row r="4" spans="1:7" x14ac:dyDescent="0.25">
      <c r="A4" s="13" t="s">
        <v>46</v>
      </c>
      <c r="B4" s="23">
        <f>IFERROR(AVERAGE(F12:F200), 0)</f>
        <v>1.8857142857142857</v>
      </c>
    </row>
    <row r="5" spans="1:7" x14ac:dyDescent="0.25">
      <c r="A5" s="13" t="s">
        <v>48</v>
      </c>
      <c r="B5" s="16">
        <f>IF(COUNTA(F12:F200)=0, 0, IF(B4&lt;=3, 6, IF(B4&lt;=5, 5, IF(B4&lt;=7, 4, IF(B4&lt;=9, 3, IF(B4&lt;=11, 2, 1))))))</f>
        <v>6</v>
      </c>
    </row>
    <row r="7" spans="1:7" x14ac:dyDescent="0.25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</row>
    <row r="8" spans="1:7" ht="39.950000000000003" customHeight="1" x14ac:dyDescent="0.25">
      <c r="A8" s="17" t="s">
        <v>255</v>
      </c>
      <c r="B8" s="17" t="s">
        <v>256</v>
      </c>
      <c r="C8" s="17" t="s">
        <v>257</v>
      </c>
      <c r="D8" s="17" t="s">
        <v>258</v>
      </c>
      <c r="E8" s="17" t="s">
        <v>259</v>
      </c>
      <c r="F8" s="17" t="s">
        <v>260</v>
      </c>
    </row>
    <row r="10" spans="1:7" x14ac:dyDescent="0.25">
      <c r="A10" s="19" t="s">
        <v>63</v>
      </c>
    </row>
    <row r="11" spans="1:7" x14ac:dyDescent="0.25">
      <c r="A11" s="4" t="s">
        <v>14</v>
      </c>
      <c r="B11" s="4" t="s">
        <v>261</v>
      </c>
      <c r="C11" s="4" t="s">
        <v>109</v>
      </c>
      <c r="D11" s="4" t="s">
        <v>262</v>
      </c>
      <c r="E11" s="4" t="s">
        <v>263</v>
      </c>
      <c r="F11" s="4" t="s">
        <v>264</v>
      </c>
      <c r="G11" s="4" t="s">
        <v>69</v>
      </c>
    </row>
    <row r="12" spans="1:7" x14ac:dyDescent="0.25">
      <c r="A12" s="20">
        <v>1</v>
      </c>
      <c r="B12" s="5" t="s">
        <v>197</v>
      </c>
      <c r="C12" s="5" t="s">
        <v>211</v>
      </c>
      <c r="D12" s="25">
        <v>46218</v>
      </c>
      <c r="E12" s="5"/>
      <c r="F12" s="24" t="str">
        <f t="shared" ref="F12:F43" si="0">IF(OR(ISBLANK(D12), ISBLANK(E12)), "", (E12-D12)/7)</f>
        <v/>
      </c>
      <c r="G12" s="5" t="s">
        <v>7</v>
      </c>
    </row>
    <row r="13" spans="1:7" x14ac:dyDescent="0.25">
      <c r="A13" s="20">
        <v>2</v>
      </c>
      <c r="B13" s="5" t="s">
        <v>265</v>
      </c>
      <c r="C13" s="5" t="s">
        <v>266</v>
      </c>
      <c r="D13" s="25">
        <v>46218</v>
      </c>
      <c r="E13" s="5"/>
      <c r="F13" s="24" t="str">
        <f t="shared" si="0"/>
        <v/>
      </c>
      <c r="G13" s="5" t="s">
        <v>7</v>
      </c>
    </row>
    <row r="14" spans="1:7" x14ac:dyDescent="0.25">
      <c r="A14" s="20">
        <v>3</v>
      </c>
      <c r="B14" s="5" t="s">
        <v>267</v>
      </c>
      <c r="C14" s="5" t="s">
        <v>217</v>
      </c>
      <c r="D14" s="25">
        <v>46218</v>
      </c>
      <c r="E14" s="27">
        <v>46261</v>
      </c>
      <c r="F14" s="24">
        <f t="shared" si="0"/>
        <v>6.1428571428571432</v>
      </c>
      <c r="G14" s="5" t="s">
        <v>7</v>
      </c>
    </row>
    <row r="15" spans="1:7" x14ac:dyDescent="0.25">
      <c r="A15" s="20">
        <v>4</v>
      </c>
      <c r="B15" s="5" t="s">
        <v>268</v>
      </c>
      <c r="C15" s="5" t="s">
        <v>269</v>
      </c>
      <c r="D15" s="25">
        <v>46218</v>
      </c>
      <c r="E15" s="5"/>
      <c r="F15" s="24" t="str">
        <f t="shared" si="0"/>
        <v/>
      </c>
      <c r="G15" s="5" t="s">
        <v>7</v>
      </c>
    </row>
    <row r="16" spans="1:7" x14ac:dyDescent="0.25">
      <c r="A16" s="20">
        <v>5</v>
      </c>
      <c r="B16" s="5" t="s">
        <v>270</v>
      </c>
      <c r="C16" s="5" t="s">
        <v>271</v>
      </c>
      <c r="D16" s="25">
        <v>46218</v>
      </c>
      <c r="E16" s="5"/>
      <c r="F16" s="24" t="str">
        <f t="shared" si="0"/>
        <v/>
      </c>
      <c r="G16" s="5" t="s">
        <v>7</v>
      </c>
    </row>
    <row r="17" spans="1:7" x14ac:dyDescent="0.25">
      <c r="A17" s="20">
        <v>6</v>
      </c>
      <c r="B17" s="5" t="s">
        <v>272</v>
      </c>
      <c r="C17" s="5" t="s">
        <v>273</v>
      </c>
      <c r="D17" s="25">
        <v>46218</v>
      </c>
      <c r="E17" s="25">
        <v>46237</v>
      </c>
      <c r="F17" s="24">
        <f t="shared" si="0"/>
        <v>2.7142857142857144</v>
      </c>
      <c r="G17" s="5" t="s">
        <v>7</v>
      </c>
    </row>
    <row r="18" spans="1:7" x14ac:dyDescent="0.25">
      <c r="A18" s="20">
        <v>7</v>
      </c>
      <c r="B18" s="5" t="s">
        <v>274</v>
      </c>
      <c r="C18" s="5" t="s">
        <v>275</v>
      </c>
      <c r="D18" s="25">
        <v>46218</v>
      </c>
      <c r="E18" s="5"/>
      <c r="F18" s="24" t="str">
        <f t="shared" si="0"/>
        <v/>
      </c>
      <c r="G18" s="5" t="s">
        <v>7</v>
      </c>
    </row>
    <row r="19" spans="1:7" x14ac:dyDescent="0.25">
      <c r="A19" s="20">
        <v>8</v>
      </c>
      <c r="B19" s="5" t="s">
        <v>276</v>
      </c>
      <c r="C19" s="5" t="s">
        <v>266</v>
      </c>
      <c r="D19" s="25">
        <v>46218</v>
      </c>
      <c r="E19" s="5"/>
      <c r="F19" s="24" t="str">
        <f t="shared" si="0"/>
        <v/>
      </c>
      <c r="G19" s="5" t="s">
        <v>7</v>
      </c>
    </row>
    <row r="20" spans="1:7" x14ac:dyDescent="0.25">
      <c r="A20" s="20">
        <v>9</v>
      </c>
      <c r="B20" s="5" t="s">
        <v>197</v>
      </c>
      <c r="C20" s="5" t="s">
        <v>277</v>
      </c>
      <c r="D20" s="25">
        <v>46218</v>
      </c>
      <c r="E20" s="5"/>
      <c r="F20" s="24" t="str">
        <f t="shared" si="0"/>
        <v/>
      </c>
      <c r="G20" s="5" t="s">
        <v>7</v>
      </c>
    </row>
    <row r="21" spans="1:7" x14ac:dyDescent="0.25">
      <c r="A21" s="20">
        <v>10</v>
      </c>
      <c r="B21" s="5" t="s">
        <v>278</v>
      </c>
      <c r="C21" s="5" t="s">
        <v>279</v>
      </c>
      <c r="D21" s="25">
        <v>46218</v>
      </c>
      <c r="E21" s="5"/>
      <c r="F21" s="24" t="str">
        <f t="shared" si="0"/>
        <v/>
      </c>
      <c r="G21" s="5" t="s">
        <v>7</v>
      </c>
    </row>
    <row r="22" spans="1:7" x14ac:dyDescent="0.25">
      <c r="A22" s="20">
        <v>11</v>
      </c>
      <c r="B22" s="5" t="s">
        <v>280</v>
      </c>
      <c r="C22" s="5" t="s">
        <v>281</v>
      </c>
      <c r="D22" s="25">
        <v>46218</v>
      </c>
      <c r="E22" s="5"/>
      <c r="F22" s="24" t="str">
        <f t="shared" si="0"/>
        <v/>
      </c>
      <c r="G22" s="5" t="s">
        <v>7</v>
      </c>
    </row>
    <row r="23" spans="1:7" x14ac:dyDescent="0.25">
      <c r="A23" s="20">
        <v>12</v>
      </c>
      <c r="B23" s="5" t="s">
        <v>197</v>
      </c>
      <c r="C23" s="5" t="s">
        <v>199</v>
      </c>
      <c r="D23" s="25">
        <v>46212</v>
      </c>
      <c r="E23" s="25">
        <v>46220</v>
      </c>
      <c r="F23" s="24">
        <f t="shared" si="0"/>
        <v>1.1428571428571428</v>
      </c>
      <c r="G23" s="5" t="s">
        <v>7</v>
      </c>
    </row>
    <row r="24" spans="1:7" x14ac:dyDescent="0.25">
      <c r="A24" s="20">
        <v>13</v>
      </c>
      <c r="B24" s="5" t="s">
        <v>282</v>
      </c>
      <c r="C24" s="5" t="s">
        <v>283</v>
      </c>
      <c r="D24" s="25">
        <v>46220</v>
      </c>
      <c r="E24" s="5"/>
      <c r="F24" s="24" t="str">
        <f t="shared" si="0"/>
        <v/>
      </c>
      <c r="G24" s="5" t="s">
        <v>7</v>
      </c>
    </row>
    <row r="25" spans="1:7" x14ac:dyDescent="0.25">
      <c r="A25" s="20">
        <v>14</v>
      </c>
      <c r="B25" s="5" t="s">
        <v>284</v>
      </c>
      <c r="C25" s="5" t="s">
        <v>285</v>
      </c>
      <c r="D25" s="25">
        <v>46221</v>
      </c>
      <c r="E25" s="5"/>
      <c r="F25" s="24" t="str">
        <f t="shared" si="0"/>
        <v/>
      </c>
      <c r="G25" s="5" t="s">
        <v>7</v>
      </c>
    </row>
    <row r="26" spans="1:7" x14ac:dyDescent="0.25">
      <c r="A26" s="20">
        <v>15</v>
      </c>
      <c r="B26" s="5" t="s">
        <v>286</v>
      </c>
      <c r="C26" s="5" t="s">
        <v>287</v>
      </c>
      <c r="D26" s="5"/>
      <c r="E26" s="5"/>
      <c r="F26" s="24" t="str">
        <f t="shared" si="0"/>
        <v/>
      </c>
      <c r="G26" s="5"/>
    </row>
    <row r="27" spans="1:7" x14ac:dyDescent="0.25">
      <c r="A27" s="20">
        <v>16</v>
      </c>
      <c r="B27" s="5" t="s">
        <v>288</v>
      </c>
      <c r="C27" s="5" t="s">
        <v>289</v>
      </c>
      <c r="D27" s="25">
        <v>46221</v>
      </c>
      <c r="E27" s="5"/>
      <c r="F27" s="24" t="str">
        <f t="shared" si="0"/>
        <v/>
      </c>
      <c r="G27" s="5" t="s">
        <v>7</v>
      </c>
    </row>
    <row r="28" spans="1:7" x14ac:dyDescent="0.25">
      <c r="A28" s="20">
        <v>17</v>
      </c>
      <c r="B28" s="5" t="s">
        <v>286</v>
      </c>
      <c r="C28" s="5" t="s">
        <v>290</v>
      </c>
      <c r="D28" s="25">
        <v>46223</v>
      </c>
      <c r="E28" s="5"/>
      <c r="F28" s="24" t="str">
        <f t="shared" si="0"/>
        <v/>
      </c>
      <c r="G28" s="5" t="s">
        <v>7</v>
      </c>
    </row>
    <row r="29" spans="1:7" x14ac:dyDescent="0.25">
      <c r="A29" s="20">
        <v>18</v>
      </c>
      <c r="B29" s="5" t="s">
        <v>250</v>
      </c>
      <c r="C29" s="5" t="s">
        <v>291</v>
      </c>
      <c r="D29" s="25">
        <v>46223</v>
      </c>
      <c r="E29" s="5"/>
      <c r="F29" s="24" t="str">
        <f t="shared" si="0"/>
        <v/>
      </c>
      <c r="G29" s="5" t="s">
        <v>7</v>
      </c>
    </row>
    <row r="30" spans="1:7" x14ac:dyDescent="0.25">
      <c r="A30" s="20">
        <v>19</v>
      </c>
      <c r="B30" s="5" t="s">
        <v>292</v>
      </c>
      <c r="C30" s="5" t="s">
        <v>293</v>
      </c>
      <c r="D30" s="25">
        <v>46223</v>
      </c>
      <c r="E30" s="25">
        <v>46245</v>
      </c>
      <c r="F30" s="24">
        <f t="shared" si="0"/>
        <v>3.1428571428571428</v>
      </c>
      <c r="G30" s="5" t="s">
        <v>7</v>
      </c>
    </row>
    <row r="31" spans="1:7" x14ac:dyDescent="0.25">
      <c r="A31" s="20">
        <v>20</v>
      </c>
      <c r="B31" s="5" t="s">
        <v>294</v>
      </c>
      <c r="C31" s="5" t="s">
        <v>295</v>
      </c>
      <c r="D31" s="25">
        <v>46223</v>
      </c>
      <c r="E31" s="5"/>
      <c r="F31" s="24" t="str">
        <f t="shared" si="0"/>
        <v/>
      </c>
      <c r="G31" s="5" t="s">
        <v>7</v>
      </c>
    </row>
    <row r="32" spans="1:7" x14ac:dyDescent="0.25">
      <c r="A32" s="20">
        <v>21</v>
      </c>
      <c r="B32" s="5" t="s">
        <v>238</v>
      </c>
      <c r="C32" s="5" t="s">
        <v>296</v>
      </c>
      <c r="D32" s="25">
        <v>46223</v>
      </c>
      <c r="E32" s="5"/>
      <c r="F32" s="24" t="str">
        <f t="shared" si="0"/>
        <v/>
      </c>
      <c r="G32" s="5" t="s">
        <v>7</v>
      </c>
    </row>
    <row r="33" spans="1:8" x14ac:dyDescent="0.25">
      <c r="A33" s="20">
        <v>22</v>
      </c>
      <c r="B33" s="5" t="s">
        <v>297</v>
      </c>
      <c r="C33" s="5" t="s">
        <v>298</v>
      </c>
      <c r="D33" s="25">
        <v>46223</v>
      </c>
      <c r="E33" s="5"/>
      <c r="F33" s="24" t="str">
        <f t="shared" si="0"/>
        <v/>
      </c>
      <c r="G33" s="5" t="s">
        <v>7</v>
      </c>
    </row>
    <row r="34" spans="1:8" x14ac:dyDescent="0.25">
      <c r="A34" s="20">
        <v>23</v>
      </c>
      <c r="B34" s="5" t="s">
        <v>299</v>
      </c>
      <c r="C34" s="5" t="s">
        <v>300</v>
      </c>
      <c r="D34" s="25">
        <v>46223</v>
      </c>
      <c r="E34" s="5"/>
      <c r="F34" s="24" t="str">
        <f t="shared" si="0"/>
        <v/>
      </c>
      <c r="G34" s="5" t="s">
        <v>7</v>
      </c>
    </row>
    <row r="35" spans="1:8" x14ac:dyDescent="0.25">
      <c r="A35" s="20">
        <v>24</v>
      </c>
      <c r="B35" s="5" t="s">
        <v>197</v>
      </c>
      <c r="C35" s="5" t="s">
        <v>207</v>
      </c>
      <c r="D35" s="25">
        <v>46224</v>
      </c>
      <c r="E35" s="5"/>
      <c r="F35" s="24" t="str">
        <f t="shared" si="0"/>
        <v/>
      </c>
      <c r="G35" s="5" t="s">
        <v>7</v>
      </c>
    </row>
    <row r="36" spans="1:8" x14ac:dyDescent="0.25">
      <c r="A36" s="20">
        <v>25</v>
      </c>
      <c r="B36" s="5" t="s">
        <v>301</v>
      </c>
      <c r="C36" s="5" t="s">
        <v>302</v>
      </c>
      <c r="D36" s="25">
        <v>46224</v>
      </c>
      <c r="E36" s="5"/>
      <c r="F36" s="24" t="str">
        <f t="shared" si="0"/>
        <v/>
      </c>
      <c r="G36" s="5" t="s">
        <v>7</v>
      </c>
    </row>
    <row r="37" spans="1:8" x14ac:dyDescent="0.25">
      <c r="A37" s="20">
        <v>26</v>
      </c>
      <c r="B37" s="5" t="s">
        <v>303</v>
      </c>
      <c r="C37" s="5" t="s">
        <v>304</v>
      </c>
      <c r="D37" s="25">
        <v>46224</v>
      </c>
      <c r="E37" s="5"/>
      <c r="F37" s="24" t="str">
        <f t="shared" si="0"/>
        <v/>
      </c>
      <c r="G37" s="5" t="s">
        <v>7</v>
      </c>
    </row>
    <row r="38" spans="1:8" x14ac:dyDescent="0.25">
      <c r="A38" s="20">
        <v>27</v>
      </c>
      <c r="B38" s="5" t="s">
        <v>305</v>
      </c>
      <c r="C38" s="5" t="s">
        <v>306</v>
      </c>
      <c r="D38" s="25">
        <v>46225</v>
      </c>
      <c r="E38" s="25">
        <v>46234</v>
      </c>
      <c r="F38" s="24">
        <f t="shared" si="0"/>
        <v>1.2857142857142858</v>
      </c>
      <c r="G38" s="5" t="s">
        <v>7</v>
      </c>
    </row>
    <row r="39" spans="1:8" x14ac:dyDescent="0.25">
      <c r="A39" s="20">
        <v>28</v>
      </c>
      <c r="B39" s="5" t="s">
        <v>307</v>
      </c>
      <c r="C39" s="5" t="s">
        <v>308</v>
      </c>
      <c r="D39" s="25">
        <v>46230</v>
      </c>
      <c r="E39" s="5"/>
      <c r="F39" s="24" t="str">
        <f t="shared" si="0"/>
        <v/>
      </c>
      <c r="G39" s="5" t="s">
        <v>7</v>
      </c>
    </row>
    <row r="40" spans="1:8" x14ac:dyDescent="0.25">
      <c r="A40" s="20">
        <v>29</v>
      </c>
      <c r="B40" s="5" t="s">
        <v>309</v>
      </c>
      <c r="C40" s="5" t="s">
        <v>310</v>
      </c>
      <c r="D40" s="25">
        <v>46238</v>
      </c>
      <c r="E40" s="25">
        <v>46238</v>
      </c>
      <c r="F40" s="24">
        <f t="shared" si="0"/>
        <v>0</v>
      </c>
      <c r="G40" s="5" t="s">
        <v>8</v>
      </c>
    </row>
    <row r="41" spans="1:8" x14ac:dyDescent="0.25">
      <c r="A41" s="20">
        <v>30</v>
      </c>
      <c r="B41" s="5" t="s">
        <v>311</v>
      </c>
      <c r="C41" s="5" t="s">
        <v>312</v>
      </c>
      <c r="D41" s="25">
        <v>46239</v>
      </c>
      <c r="E41" s="25">
        <v>46239</v>
      </c>
      <c r="F41" s="24">
        <f t="shared" si="0"/>
        <v>0</v>
      </c>
      <c r="G41" s="5" t="s">
        <v>8</v>
      </c>
    </row>
    <row r="42" spans="1:8" x14ac:dyDescent="0.25">
      <c r="A42" s="20">
        <v>31</v>
      </c>
      <c r="B42" s="5" t="s">
        <v>313</v>
      </c>
      <c r="C42" s="5" t="s">
        <v>314</v>
      </c>
      <c r="D42" s="25">
        <v>46240</v>
      </c>
      <c r="E42" s="5"/>
      <c r="F42" s="24" t="str">
        <f t="shared" si="0"/>
        <v/>
      </c>
      <c r="G42" s="5" t="s">
        <v>8</v>
      </c>
    </row>
    <row r="43" spans="1:8" x14ac:dyDescent="0.25">
      <c r="A43" s="20">
        <v>32</v>
      </c>
      <c r="B43" s="5" t="s">
        <v>315</v>
      </c>
      <c r="C43" s="5" t="s">
        <v>316</v>
      </c>
      <c r="D43" s="25">
        <v>46245</v>
      </c>
      <c r="E43" s="5"/>
      <c r="F43" s="24" t="str">
        <f t="shared" si="0"/>
        <v/>
      </c>
      <c r="G43" s="5" t="s">
        <v>8</v>
      </c>
    </row>
    <row r="44" spans="1:8" x14ac:dyDescent="0.25">
      <c r="A44" s="20">
        <v>15839</v>
      </c>
      <c r="B44" s="28" t="s">
        <v>329</v>
      </c>
      <c r="C44" s="5" t="s">
        <v>328</v>
      </c>
      <c r="D44" s="27">
        <v>46252</v>
      </c>
      <c r="E44" s="5"/>
      <c r="F44" s="24" t="str">
        <f t="shared" ref="F44:F75" si="1">IF(OR(ISBLANK(D44), ISBLANK(E44)), "", (E44-D44)/7)</f>
        <v/>
      </c>
      <c r="G44" s="5" t="s">
        <v>8</v>
      </c>
      <c r="H44" t="s">
        <v>162</v>
      </c>
    </row>
    <row r="45" spans="1:8" x14ac:dyDescent="0.25">
      <c r="A45" s="20">
        <v>16134</v>
      </c>
      <c r="B45" s="5" t="s">
        <v>331</v>
      </c>
      <c r="C45" s="5" t="s">
        <v>330</v>
      </c>
      <c r="D45" s="27">
        <v>46252</v>
      </c>
      <c r="E45" s="5"/>
      <c r="F45" s="24" t="str">
        <f t="shared" si="1"/>
        <v/>
      </c>
      <c r="G45" s="5" t="s">
        <v>8</v>
      </c>
      <c r="H45" t="s">
        <v>162</v>
      </c>
    </row>
    <row r="46" spans="1:8" x14ac:dyDescent="0.25">
      <c r="A46" s="20">
        <v>16143</v>
      </c>
      <c r="B46" s="5" t="s">
        <v>333</v>
      </c>
      <c r="C46" s="5" t="s">
        <v>332</v>
      </c>
      <c r="D46" s="27">
        <v>46252</v>
      </c>
      <c r="E46" s="5"/>
      <c r="F46" s="24" t="str">
        <f t="shared" si="1"/>
        <v/>
      </c>
      <c r="G46" s="5" t="s">
        <v>8</v>
      </c>
      <c r="H46" t="s">
        <v>162</v>
      </c>
    </row>
    <row r="47" spans="1:8" x14ac:dyDescent="0.25">
      <c r="A47" s="20">
        <v>16082</v>
      </c>
      <c r="B47" s="5" t="s">
        <v>335</v>
      </c>
      <c r="C47" s="5" t="s">
        <v>334</v>
      </c>
      <c r="D47" s="27">
        <v>46252</v>
      </c>
      <c r="E47" s="5"/>
      <c r="F47" s="24" t="str">
        <f>IF(OR(ISBLANK(D47), ISBLANK(E47)), "", (E47-D47)/7)</f>
        <v/>
      </c>
      <c r="G47" s="5" t="s">
        <v>8</v>
      </c>
      <c r="H47" t="s">
        <v>162</v>
      </c>
    </row>
    <row r="48" spans="1:8" x14ac:dyDescent="0.25">
      <c r="A48" s="29">
        <v>15933</v>
      </c>
      <c r="B48" s="28" t="s">
        <v>197</v>
      </c>
      <c r="C48" s="30" t="s">
        <v>229</v>
      </c>
      <c r="D48" s="31">
        <v>46245</v>
      </c>
      <c r="E48" s="31">
        <v>46252</v>
      </c>
      <c r="F48" s="32">
        <f>IF(OR(ISBLANK(D48), ISBLANK(E48)), "", (E48-D48)/7)</f>
        <v>1</v>
      </c>
      <c r="G48" s="28" t="s">
        <v>8</v>
      </c>
      <c r="H48" t="s">
        <v>70</v>
      </c>
    </row>
    <row r="49" spans="1:8" x14ac:dyDescent="0.25">
      <c r="A49" s="20">
        <v>14935</v>
      </c>
      <c r="B49" s="5" t="s">
        <v>343</v>
      </c>
      <c r="C49" s="5" t="s">
        <v>342</v>
      </c>
      <c r="D49" s="27">
        <v>46092</v>
      </c>
      <c r="E49" s="27">
        <v>46107</v>
      </c>
      <c r="F49" s="24">
        <f t="shared" si="1"/>
        <v>2.1428571428571428</v>
      </c>
      <c r="G49" s="5" t="s">
        <v>9</v>
      </c>
      <c r="H49" t="s">
        <v>162</v>
      </c>
    </row>
    <row r="50" spans="1:8" x14ac:dyDescent="0.25">
      <c r="A50" s="20">
        <v>15447</v>
      </c>
      <c r="B50" s="5" t="s">
        <v>366</v>
      </c>
      <c r="C50" s="5" t="s">
        <v>367</v>
      </c>
      <c r="D50" s="27">
        <v>46252</v>
      </c>
      <c r="E50" s="27">
        <v>46261</v>
      </c>
      <c r="F50" s="24">
        <f t="shared" si="1"/>
        <v>1.2857142857142858</v>
      </c>
      <c r="G50" s="5" t="s">
        <v>9</v>
      </c>
      <c r="H50" t="s">
        <v>162</v>
      </c>
    </row>
    <row r="51" spans="1:8" x14ac:dyDescent="0.25">
      <c r="A51" s="20">
        <v>40</v>
      </c>
      <c r="B51" s="5"/>
      <c r="C51" s="5"/>
      <c r="D51" s="5"/>
      <c r="E51" s="5"/>
      <c r="F51" s="24" t="str">
        <f t="shared" si="1"/>
        <v/>
      </c>
      <c r="G51" s="5"/>
    </row>
    <row r="52" spans="1:8" x14ac:dyDescent="0.25">
      <c r="A52" s="20">
        <v>41</v>
      </c>
      <c r="B52" s="5"/>
      <c r="C52" s="5"/>
      <c r="D52" s="5"/>
      <c r="E52" s="5"/>
      <c r="F52" s="24" t="str">
        <f t="shared" si="1"/>
        <v/>
      </c>
      <c r="G52" s="5"/>
    </row>
    <row r="53" spans="1:8" x14ac:dyDescent="0.25">
      <c r="A53" s="20">
        <v>42</v>
      </c>
      <c r="B53" s="5"/>
      <c r="C53" s="5"/>
      <c r="D53" s="5"/>
      <c r="E53" s="5"/>
      <c r="F53" s="24" t="str">
        <f t="shared" si="1"/>
        <v/>
      </c>
      <c r="G53" s="5"/>
    </row>
    <row r="54" spans="1:8" x14ac:dyDescent="0.25">
      <c r="A54" s="20">
        <v>43</v>
      </c>
      <c r="B54" s="5"/>
      <c r="C54" s="5"/>
      <c r="D54" s="5"/>
      <c r="E54" s="5"/>
      <c r="F54" s="24" t="str">
        <f t="shared" si="1"/>
        <v/>
      </c>
      <c r="G54" s="5"/>
    </row>
    <row r="55" spans="1:8" x14ac:dyDescent="0.25">
      <c r="A55" s="20">
        <v>44</v>
      </c>
      <c r="B55" s="5"/>
      <c r="C55" s="5"/>
      <c r="D55" s="5"/>
      <c r="E55" s="5"/>
      <c r="F55" s="24" t="str">
        <f t="shared" si="1"/>
        <v/>
      </c>
      <c r="G55" s="5"/>
    </row>
    <row r="56" spans="1:8" x14ac:dyDescent="0.25">
      <c r="A56" s="20">
        <v>45</v>
      </c>
      <c r="B56" s="5"/>
      <c r="C56" s="5"/>
      <c r="D56" s="5"/>
      <c r="E56" s="5"/>
      <c r="F56" s="24" t="str">
        <f t="shared" si="1"/>
        <v/>
      </c>
      <c r="G56" s="5"/>
    </row>
    <row r="57" spans="1:8" x14ac:dyDescent="0.25">
      <c r="A57" s="20">
        <v>46</v>
      </c>
      <c r="B57" s="5"/>
      <c r="C57" s="5"/>
      <c r="D57" s="5"/>
      <c r="E57" s="5"/>
      <c r="F57" s="24" t="str">
        <f t="shared" si="1"/>
        <v/>
      </c>
      <c r="G57" s="5"/>
    </row>
    <row r="58" spans="1:8" x14ac:dyDescent="0.25">
      <c r="A58" s="20">
        <v>47</v>
      </c>
      <c r="B58" s="5"/>
      <c r="C58" s="5"/>
      <c r="D58" s="5"/>
      <c r="E58" s="5"/>
      <c r="F58" s="24" t="str">
        <f t="shared" si="1"/>
        <v/>
      </c>
      <c r="G58" s="5"/>
    </row>
    <row r="59" spans="1:8" x14ac:dyDescent="0.25">
      <c r="A59" s="20">
        <v>48</v>
      </c>
      <c r="B59" s="5"/>
      <c r="C59" s="5"/>
      <c r="D59" s="5"/>
      <c r="E59" s="5"/>
      <c r="F59" s="24" t="str">
        <f t="shared" si="1"/>
        <v/>
      </c>
      <c r="G59" s="5"/>
    </row>
    <row r="60" spans="1:8" x14ac:dyDescent="0.25">
      <c r="A60" s="20">
        <v>49</v>
      </c>
      <c r="B60" s="5"/>
      <c r="C60" s="5"/>
      <c r="D60" s="5"/>
      <c r="E60" s="5"/>
      <c r="F60" s="24" t="str">
        <f t="shared" si="1"/>
        <v/>
      </c>
      <c r="G60" s="5"/>
    </row>
    <row r="61" spans="1:8" x14ac:dyDescent="0.25">
      <c r="A61" s="20">
        <v>50</v>
      </c>
      <c r="B61" s="5"/>
      <c r="C61" s="5"/>
      <c r="D61" s="5"/>
      <c r="E61" s="5"/>
      <c r="F61" s="24" t="str">
        <f t="shared" si="1"/>
        <v/>
      </c>
      <c r="G61" s="5"/>
    </row>
    <row r="62" spans="1:8" x14ac:dyDescent="0.25">
      <c r="A62" s="20">
        <v>51</v>
      </c>
      <c r="B62" s="5"/>
      <c r="C62" s="5"/>
      <c r="D62" s="5"/>
      <c r="E62" s="5"/>
      <c r="F62" s="24" t="str">
        <f t="shared" si="1"/>
        <v/>
      </c>
      <c r="G62" s="5"/>
    </row>
    <row r="63" spans="1:8" x14ac:dyDescent="0.25">
      <c r="A63" s="20">
        <v>52</v>
      </c>
      <c r="B63" s="5"/>
      <c r="C63" s="5"/>
      <c r="D63" s="5"/>
      <c r="E63" s="5"/>
      <c r="F63" s="24" t="str">
        <f t="shared" si="1"/>
        <v/>
      </c>
      <c r="G63" s="5"/>
    </row>
    <row r="64" spans="1:8" x14ac:dyDescent="0.25">
      <c r="A64" s="20">
        <v>53</v>
      </c>
      <c r="B64" s="5"/>
      <c r="C64" s="5"/>
      <c r="D64" s="5"/>
      <c r="E64" s="5"/>
      <c r="F64" s="24" t="str">
        <f t="shared" si="1"/>
        <v/>
      </c>
      <c r="G64" s="5"/>
    </row>
    <row r="65" spans="1:7" x14ac:dyDescent="0.25">
      <c r="A65" s="20">
        <v>54</v>
      </c>
      <c r="B65" s="5"/>
      <c r="C65" s="5"/>
      <c r="D65" s="5"/>
      <c r="E65" s="5"/>
      <c r="F65" s="24" t="str">
        <f t="shared" si="1"/>
        <v/>
      </c>
      <c r="G65" s="5"/>
    </row>
    <row r="66" spans="1:7" x14ac:dyDescent="0.25">
      <c r="A66" s="20">
        <v>55</v>
      </c>
      <c r="B66" s="5"/>
      <c r="C66" s="5"/>
      <c r="D66" s="5"/>
      <c r="E66" s="5"/>
      <c r="F66" s="24" t="str">
        <f t="shared" si="1"/>
        <v/>
      </c>
      <c r="G66" s="5"/>
    </row>
    <row r="67" spans="1:7" x14ac:dyDescent="0.25">
      <c r="A67" s="20">
        <v>56</v>
      </c>
      <c r="B67" s="5"/>
      <c r="C67" s="5"/>
      <c r="D67" s="5"/>
      <c r="E67" s="5"/>
      <c r="F67" s="24" t="str">
        <f t="shared" si="1"/>
        <v/>
      </c>
      <c r="G67" s="5"/>
    </row>
    <row r="68" spans="1:7" x14ac:dyDescent="0.25">
      <c r="A68" s="20">
        <v>57</v>
      </c>
      <c r="B68" s="5"/>
      <c r="C68" s="5"/>
      <c r="D68" s="5"/>
      <c r="E68" s="5"/>
      <c r="F68" s="24" t="str">
        <f t="shared" si="1"/>
        <v/>
      </c>
      <c r="G68" s="5"/>
    </row>
    <row r="69" spans="1:7" x14ac:dyDescent="0.25">
      <c r="A69" s="20">
        <v>58</v>
      </c>
      <c r="B69" s="5"/>
      <c r="C69" s="5"/>
      <c r="D69" s="5"/>
      <c r="E69" s="5"/>
      <c r="F69" s="24" t="str">
        <f t="shared" si="1"/>
        <v/>
      </c>
      <c r="G69" s="5"/>
    </row>
    <row r="70" spans="1:7" x14ac:dyDescent="0.25">
      <c r="A70" s="20">
        <v>59</v>
      </c>
      <c r="B70" s="5"/>
      <c r="C70" s="5"/>
      <c r="D70" s="5"/>
      <c r="E70" s="5"/>
      <c r="F70" s="24" t="str">
        <f t="shared" si="1"/>
        <v/>
      </c>
      <c r="G70" s="5"/>
    </row>
    <row r="71" spans="1:7" x14ac:dyDescent="0.25">
      <c r="A71" s="20">
        <v>60</v>
      </c>
      <c r="B71" s="5"/>
      <c r="C71" s="5"/>
      <c r="D71" s="5"/>
      <c r="E71" s="5"/>
      <c r="F71" s="24" t="str">
        <f t="shared" si="1"/>
        <v/>
      </c>
      <c r="G71" s="5"/>
    </row>
    <row r="72" spans="1:7" x14ac:dyDescent="0.25">
      <c r="A72" s="20">
        <v>61</v>
      </c>
      <c r="B72" s="5"/>
      <c r="C72" s="5"/>
      <c r="D72" s="5"/>
      <c r="E72" s="5"/>
      <c r="F72" s="24" t="str">
        <f t="shared" si="1"/>
        <v/>
      </c>
      <c r="G72" s="5"/>
    </row>
    <row r="73" spans="1:7" x14ac:dyDescent="0.25">
      <c r="A73" s="20">
        <v>62</v>
      </c>
      <c r="B73" s="5"/>
      <c r="C73" s="5"/>
      <c r="D73" s="5"/>
      <c r="E73" s="5"/>
      <c r="F73" s="24" t="str">
        <f t="shared" si="1"/>
        <v/>
      </c>
      <c r="G73" s="5"/>
    </row>
    <row r="74" spans="1:7" x14ac:dyDescent="0.25">
      <c r="A74" s="20">
        <v>63</v>
      </c>
      <c r="B74" s="5"/>
      <c r="C74" s="5"/>
      <c r="D74" s="5"/>
      <c r="E74" s="5"/>
      <c r="F74" s="24" t="str">
        <f t="shared" si="1"/>
        <v/>
      </c>
      <c r="G74" s="5"/>
    </row>
    <row r="75" spans="1:7" x14ac:dyDescent="0.25">
      <c r="A75" s="22"/>
      <c r="F75" s="26" t="str">
        <f t="shared" si="1"/>
        <v/>
      </c>
    </row>
    <row r="76" spans="1:7" x14ac:dyDescent="0.25">
      <c r="A76" s="22"/>
      <c r="F76" s="26" t="str">
        <f t="shared" ref="F76:F107" si="2">IF(OR(ISBLANK(D76), ISBLANK(E76)), "", (E76-D76)/7)</f>
        <v/>
      </c>
    </row>
    <row r="77" spans="1:7" x14ac:dyDescent="0.25">
      <c r="A77" s="22"/>
      <c r="F77" s="26" t="str">
        <f t="shared" si="2"/>
        <v/>
      </c>
    </row>
    <row r="78" spans="1:7" x14ac:dyDescent="0.25">
      <c r="A78" s="22"/>
      <c r="F78" s="26" t="str">
        <f t="shared" si="2"/>
        <v/>
      </c>
    </row>
    <row r="79" spans="1:7" x14ac:dyDescent="0.25">
      <c r="A79" s="22"/>
      <c r="F79" s="26" t="str">
        <f t="shared" si="2"/>
        <v/>
      </c>
    </row>
    <row r="80" spans="1:7" x14ac:dyDescent="0.25">
      <c r="A80" s="22"/>
      <c r="F80" s="26" t="str">
        <f t="shared" si="2"/>
        <v/>
      </c>
    </row>
    <row r="81" spans="1:6" x14ac:dyDescent="0.25">
      <c r="A81" s="22"/>
      <c r="F81" s="26" t="str">
        <f t="shared" si="2"/>
        <v/>
      </c>
    </row>
    <row r="82" spans="1:6" x14ac:dyDescent="0.25">
      <c r="A82" s="22"/>
      <c r="F82" s="26" t="str">
        <f t="shared" si="2"/>
        <v/>
      </c>
    </row>
    <row r="83" spans="1:6" x14ac:dyDescent="0.25">
      <c r="A83" s="22"/>
      <c r="F83" s="26" t="str">
        <f t="shared" si="2"/>
        <v/>
      </c>
    </row>
    <row r="84" spans="1:6" x14ac:dyDescent="0.25">
      <c r="A84" s="22"/>
      <c r="F84" s="26" t="str">
        <f t="shared" si="2"/>
        <v/>
      </c>
    </row>
    <row r="85" spans="1:6" x14ac:dyDescent="0.25">
      <c r="A85" s="22"/>
      <c r="F85" s="26" t="str">
        <f t="shared" si="2"/>
        <v/>
      </c>
    </row>
    <row r="86" spans="1:6" x14ac:dyDescent="0.25">
      <c r="A86" s="22"/>
      <c r="F86" s="26" t="str">
        <f t="shared" si="2"/>
        <v/>
      </c>
    </row>
    <row r="87" spans="1:6" x14ac:dyDescent="0.25">
      <c r="A87" s="22"/>
      <c r="F87" s="26" t="str">
        <f t="shared" si="2"/>
        <v/>
      </c>
    </row>
    <row r="88" spans="1:6" x14ac:dyDescent="0.25">
      <c r="A88" s="22"/>
      <c r="F88" s="26" t="str">
        <f t="shared" si="2"/>
        <v/>
      </c>
    </row>
    <row r="89" spans="1:6" x14ac:dyDescent="0.25">
      <c r="A89" s="22"/>
      <c r="F89" s="26" t="str">
        <f t="shared" si="2"/>
        <v/>
      </c>
    </row>
    <row r="90" spans="1:6" x14ac:dyDescent="0.25">
      <c r="A90" s="22"/>
      <c r="F90" s="26" t="str">
        <f t="shared" si="2"/>
        <v/>
      </c>
    </row>
    <row r="91" spans="1:6" x14ac:dyDescent="0.25">
      <c r="A91" s="22"/>
      <c r="F91" s="26" t="str">
        <f t="shared" si="2"/>
        <v/>
      </c>
    </row>
    <row r="92" spans="1:6" x14ac:dyDescent="0.25">
      <c r="A92" s="22"/>
      <c r="F92" s="26" t="str">
        <f t="shared" si="2"/>
        <v/>
      </c>
    </row>
    <row r="93" spans="1:6" x14ac:dyDescent="0.25">
      <c r="A93" s="22"/>
      <c r="F93" s="26" t="str">
        <f t="shared" si="2"/>
        <v/>
      </c>
    </row>
    <row r="94" spans="1:6" x14ac:dyDescent="0.25">
      <c r="A94" s="22"/>
      <c r="F94" s="26" t="str">
        <f t="shared" si="2"/>
        <v/>
      </c>
    </row>
    <row r="95" spans="1:6" x14ac:dyDescent="0.25">
      <c r="A95" s="22"/>
      <c r="F95" s="26" t="str">
        <f t="shared" si="2"/>
        <v/>
      </c>
    </row>
    <row r="96" spans="1:6" x14ac:dyDescent="0.25">
      <c r="A96" s="22"/>
      <c r="F96" s="26" t="str">
        <f t="shared" si="2"/>
        <v/>
      </c>
    </row>
    <row r="97" spans="1:6" x14ac:dyDescent="0.25">
      <c r="A97" s="22"/>
      <c r="F97" s="26" t="str">
        <f t="shared" si="2"/>
        <v/>
      </c>
    </row>
    <row r="98" spans="1:6" x14ac:dyDescent="0.25">
      <c r="A98" s="22"/>
      <c r="F98" s="26" t="str">
        <f t="shared" si="2"/>
        <v/>
      </c>
    </row>
    <row r="99" spans="1:6" x14ac:dyDescent="0.25">
      <c r="A99" s="22"/>
      <c r="F99" s="26" t="str">
        <f t="shared" si="2"/>
        <v/>
      </c>
    </row>
    <row r="100" spans="1:6" x14ac:dyDescent="0.25">
      <c r="A100" s="22"/>
      <c r="F100" s="26" t="str">
        <f t="shared" si="2"/>
        <v/>
      </c>
    </row>
    <row r="101" spans="1:6" x14ac:dyDescent="0.25">
      <c r="A101" s="22"/>
      <c r="F101" s="26" t="str">
        <f t="shared" si="2"/>
        <v/>
      </c>
    </row>
    <row r="102" spans="1:6" x14ac:dyDescent="0.25">
      <c r="A102" s="22"/>
      <c r="F102" s="26" t="str">
        <f t="shared" si="2"/>
        <v/>
      </c>
    </row>
    <row r="103" spans="1:6" x14ac:dyDescent="0.25">
      <c r="A103" s="22"/>
      <c r="F103" s="26" t="str">
        <f t="shared" si="2"/>
        <v/>
      </c>
    </row>
    <row r="104" spans="1:6" x14ac:dyDescent="0.25">
      <c r="A104" s="22"/>
      <c r="F104" s="26" t="str">
        <f t="shared" si="2"/>
        <v/>
      </c>
    </row>
    <row r="105" spans="1:6" x14ac:dyDescent="0.25">
      <c r="A105" s="22"/>
      <c r="F105" s="26" t="str">
        <f t="shared" si="2"/>
        <v/>
      </c>
    </row>
    <row r="106" spans="1:6" x14ac:dyDescent="0.25">
      <c r="A106" s="22"/>
      <c r="F106" s="26" t="str">
        <f t="shared" si="2"/>
        <v/>
      </c>
    </row>
    <row r="107" spans="1:6" x14ac:dyDescent="0.25">
      <c r="A107" s="22"/>
      <c r="F107" s="26" t="str">
        <f t="shared" si="2"/>
        <v/>
      </c>
    </row>
    <row r="108" spans="1:6" x14ac:dyDescent="0.25">
      <c r="A108" s="22"/>
      <c r="F108" s="26" t="str">
        <f t="shared" ref="F108:F139" si="3">IF(OR(ISBLANK(D108), ISBLANK(E108)), "", (E108-D108)/7)</f>
        <v/>
      </c>
    </row>
    <row r="109" spans="1:6" x14ac:dyDescent="0.25">
      <c r="A109" s="22"/>
      <c r="F109" s="26" t="str">
        <f t="shared" si="3"/>
        <v/>
      </c>
    </row>
    <row r="110" spans="1:6" x14ac:dyDescent="0.25">
      <c r="A110" s="22"/>
      <c r="F110" s="26" t="str">
        <f t="shared" si="3"/>
        <v/>
      </c>
    </row>
    <row r="111" spans="1:6" x14ac:dyDescent="0.25">
      <c r="A111" s="22"/>
      <c r="F111" s="26" t="str">
        <f t="shared" si="3"/>
        <v/>
      </c>
    </row>
    <row r="112" spans="1:6" x14ac:dyDescent="0.25">
      <c r="A112" s="22"/>
      <c r="F112" s="26" t="str">
        <f t="shared" si="3"/>
        <v/>
      </c>
    </row>
    <row r="113" spans="1:6" x14ac:dyDescent="0.25">
      <c r="A113" s="22"/>
      <c r="F113" s="26" t="str">
        <f t="shared" si="3"/>
        <v/>
      </c>
    </row>
    <row r="114" spans="1:6" x14ac:dyDescent="0.25">
      <c r="A114" s="22"/>
      <c r="F114" s="26" t="str">
        <f t="shared" si="3"/>
        <v/>
      </c>
    </row>
    <row r="115" spans="1:6" x14ac:dyDescent="0.25">
      <c r="A115" s="22"/>
      <c r="F115" s="26" t="str">
        <f t="shared" si="3"/>
        <v/>
      </c>
    </row>
    <row r="116" spans="1:6" x14ac:dyDescent="0.25">
      <c r="A116" s="22"/>
      <c r="F116" s="26" t="str">
        <f t="shared" si="3"/>
        <v/>
      </c>
    </row>
    <row r="117" spans="1:6" x14ac:dyDescent="0.25">
      <c r="A117" s="22"/>
      <c r="F117" s="26" t="str">
        <f t="shared" si="3"/>
        <v/>
      </c>
    </row>
    <row r="118" spans="1:6" x14ac:dyDescent="0.25">
      <c r="A118" s="22"/>
      <c r="F118" s="26" t="str">
        <f t="shared" si="3"/>
        <v/>
      </c>
    </row>
    <row r="119" spans="1:6" x14ac:dyDescent="0.25">
      <c r="A119" s="22"/>
      <c r="F119" s="26" t="str">
        <f t="shared" si="3"/>
        <v/>
      </c>
    </row>
    <row r="120" spans="1:6" x14ac:dyDescent="0.25">
      <c r="A120" s="22"/>
      <c r="F120" s="26" t="str">
        <f t="shared" si="3"/>
        <v/>
      </c>
    </row>
    <row r="121" spans="1:6" x14ac:dyDescent="0.25">
      <c r="A121" s="22"/>
      <c r="F121" s="26" t="str">
        <f t="shared" si="3"/>
        <v/>
      </c>
    </row>
    <row r="122" spans="1:6" x14ac:dyDescent="0.25">
      <c r="A122" s="22"/>
      <c r="F122" s="26" t="str">
        <f t="shared" si="3"/>
        <v/>
      </c>
    </row>
    <row r="123" spans="1:6" x14ac:dyDescent="0.25">
      <c r="A123" s="22"/>
      <c r="F123" s="26" t="str">
        <f t="shared" si="3"/>
        <v/>
      </c>
    </row>
    <row r="124" spans="1:6" x14ac:dyDescent="0.25">
      <c r="A124" s="22"/>
      <c r="F124" s="26" t="str">
        <f t="shared" si="3"/>
        <v/>
      </c>
    </row>
    <row r="125" spans="1:6" x14ac:dyDescent="0.25">
      <c r="A125" s="22"/>
      <c r="F125" s="26" t="str">
        <f t="shared" si="3"/>
        <v/>
      </c>
    </row>
    <row r="126" spans="1:6" x14ac:dyDescent="0.25">
      <c r="A126" s="22"/>
      <c r="F126" s="26" t="str">
        <f t="shared" si="3"/>
        <v/>
      </c>
    </row>
    <row r="127" spans="1:6" x14ac:dyDescent="0.25">
      <c r="A127" s="22"/>
      <c r="F127" s="26" t="str">
        <f t="shared" si="3"/>
        <v/>
      </c>
    </row>
    <row r="128" spans="1:6" x14ac:dyDescent="0.25">
      <c r="A128" s="22"/>
      <c r="F128" s="26" t="str">
        <f t="shared" si="3"/>
        <v/>
      </c>
    </row>
    <row r="129" spans="1:6" x14ac:dyDescent="0.25">
      <c r="A129" s="22"/>
      <c r="F129" s="26" t="str">
        <f t="shared" si="3"/>
        <v/>
      </c>
    </row>
    <row r="130" spans="1:6" x14ac:dyDescent="0.25">
      <c r="A130" s="22"/>
      <c r="F130" s="26" t="str">
        <f t="shared" si="3"/>
        <v/>
      </c>
    </row>
    <row r="131" spans="1:6" x14ac:dyDescent="0.25">
      <c r="A131" s="22"/>
      <c r="F131" s="26" t="str">
        <f t="shared" si="3"/>
        <v/>
      </c>
    </row>
    <row r="132" spans="1:6" x14ac:dyDescent="0.25">
      <c r="A132" s="22"/>
      <c r="F132" s="26" t="str">
        <f t="shared" si="3"/>
        <v/>
      </c>
    </row>
    <row r="133" spans="1:6" x14ac:dyDescent="0.25">
      <c r="A133" s="22"/>
      <c r="F133" s="26" t="str">
        <f t="shared" si="3"/>
        <v/>
      </c>
    </row>
    <row r="134" spans="1:6" x14ac:dyDescent="0.25">
      <c r="A134" s="22"/>
      <c r="F134" s="26" t="str">
        <f t="shared" si="3"/>
        <v/>
      </c>
    </row>
    <row r="135" spans="1:6" x14ac:dyDescent="0.25">
      <c r="A135" s="22"/>
      <c r="F135" s="26" t="str">
        <f t="shared" si="3"/>
        <v/>
      </c>
    </row>
    <row r="136" spans="1:6" x14ac:dyDescent="0.25">
      <c r="A136" s="22"/>
      <c r="F136" s="26" t="str">
        <f t="shared" si="3"/>
        <v/>
      </c>
    </row>
    <row r="137" spans="1:6" x14ac:dyDescent="0.25">
      <c r="A137" s="22"/>
      <c r="F137" s="26" t="str">
        <f t="shared" si="3"/>
        <v/>
      </c>
    </row>
    <row r="138" spans="1:6" x14ac:dyDescent="0.25">
      <c r="A138" s="22"/>
      <c r="F138" s="26" t="str">
        <f t="shared" si="3"/>
        <v/>
      </c>
    </row>
    <row r="139" spans="1:6" x14ac:dyDescent="0.25">
      <c r="A139" s="22"/>
      <c r="F139" s="26" t="str">
        <f t="shared" si="3"/>
        <v/>
      </c>
    </row>
    <row r="140" spans="1:6" x14ac:dyDescent="0.25">
      <c r="A140" s="22"/>
      <c r="F140" s="26" t="str">
        <f t="shared" ref="F140:F171" si="4">IF(OR(ISBLANK(D140), ISBLANK(E140)), "", (E140-D140)/7)</f>
        <v/>
      </c>
    </row>
    <row r="141" spans="1:6" x14ac:dyDescent="0.25">
      <c r="A141" s="22"/>
      <c r="F141" s="26" t="str">
        <f t="shared" si="4"/>
        <v/>
      </c>
    </row>
    <row r="142" spans="1:6" x14ac:dyDescent="0.25">
      <c r="A142" s="22"/>
      <c r="F142" s="26" t="str">
        <f t="shared" si="4"/>
        <v/>
      </c>
    </row>
    <row r="143" spans="1:6" x14ac:dyDescent="0.25">
      <c r="A143" s="22"/>
      <c r="F143" s="26" t="str">
        <f t="shared" si="4"/>
        <v/>
      </c>
    </row>
    <row r="144" spans="1:6" x14ac:dyDescent="0.25">
      <c r="A144" s="22"/>
      <c r="F144" s="26" t="str">
        <f t="shared" si="4"/>
        <v/>
      </c>
    </row>
    <row r="145" spans="1:6" x14ac:dyDescent="0.25">
      <c r="A145" s="22"/>
      <c r="F145" s="26" t="str">
        <f t="shared" si="4"/>
        <v/>
      </c>
    </row>
    <row r="146" spans="1:6" x14ac:dyDescent="0.25">
      <c r="A146" s="22"/>
      <c r="F146" s="26" t="str">
        <f t="shared" si="4"/>
        <v/>
      </c>
    </row>
    <row r="147" spans="1:6" x14ac:dyDescent="0.25">
      <c r="A147" s="22"/>
      <c r="F147" s="26" t="str">
        <f t="shared" si="4"/>
        <v/>
      </c>
    </row>
    <row r="148" spans="1:6" x14ac:dyDescent="0.25">
      <c r="A148" s="22"/>
      <c r="F148" s="26" t="str">
        <f t="shared" si="4"/>
        <v/>
      </c>
    </row>
    <row r="149" spans="1:6" x14ac:dyDescent="0.25">
      <c r="A149" s="22"/>
      <c r="F149" s="26" t="str">
        <f t="shared" si="4"/>
        <v/>
      </c>
    </row>
    <row r="150" spans="1:6" x14ac:dyDescent="0.25">
      <c r="A150" s="22"/>
      <c r="F150" s="26" t="str">
        <f t="shared" si="4"/>
        <v/>
      </c>
    </row>
    <row r="151" spans="1:6" x14ac:dyDescent="0.25">
      <c r="A151" s="22"/>
      <c r="F151" s="26" t="str">
        <f t="shared" si="4"/>
        <v/>
      </c>
    </row>
    <row r="152" spans="1:6" x14ac:dyDescent="0.25">
      <c r="A152" s="22"/>
      <c r="F152" s="26" t="str">
        <f t="shared" si="4"/>
        <v/>
      </c>
    </row>
    <row r="153" spans="1:6" x14ac:dyDescent="0.25">
      <c r="A153" s="22"/>
      <c r="F153" s="26" t="str">
        <f t="shared" si="4"/>
        <v/>
      </c>
    </row>
    <row r="154" spans="1:6" x14ac:dyDescent="0.25">
      <c r="A154" s="22"/>
      <c r="F154" s="26" t="str">
        <f t="shared" si="4"/>
        <v/>
      </c>
    </row>
    <row r="155" spans="1:6" x14ac:dyDescent="0.25">
      <c r="A155" s="22"/>
      <c r="F155" s="26" t="str">
        <f t="shared" si="4"/>
        <v/>
      </c>
    </row>
    <row r="156" spans="1:6" x14ac:dyDescent="0.25">
      <c r="A156" s="22"/>
      <c r="F156" s="26" t="str">
        <f t="shared" si="4"/>
        <v/>
      </c>
    </row>
    <row r="157" spans="1:6" x14ac:dyDescent="0.25">
      <c r="A157" s="22"/>
      <c r="F157" s="26" t="str">
        <f t="shared" si="4"/>
        <v/>
      </c>
    </row>
    <row r="158" spans="1:6" x14ac:dyDescent="0.25">
      <c r="A158" s="22"/>
      <c r="F158" s="26" t="str">
        <f t="shared" si="4"/>
        <v/>
      </c>
    </row>
    <row r="159" spans="1:6" x14ac:dyDescent="0.25">
      <c r="A159" s="22"/>
      <c r="F159" s="26" t="str">
        <f t="shared" si="4"/>
        <v/>
      </c>
    </row>
    <row r="160" spans="1:6" x14ac:dyDescent="0.25">
      <c r="A160" s="22"/>
      <c r="F160" s="26" t="str">
        <f t="shared" si="4"/>
        <v/>
      </c>
    </row>
    <row r="161" spans="1:6" x14ac:dyDescent="0.25">
      <c r="A161" s="22"/>
      <c r="F161" s="26" t="str">
        <f t="shared" si="4"/>
        <v/>
      </c>
    </row>
    <row r="162" spans="1:6" x14ac:dyDescent="0.25">
      <c r="A162" s="22"/>
      <c r="F162" s="26" t="str">
        <f t="shared" si="4"/>
        <v/>
      </c>
    </row>
    <row r="163" spans="1:6" x14ac:dyDescent="0.25">
      <c r="A163" s="22"/>
      <c r="F163" s="26" t="str">
        <f t="shared" si="4"/>
        <v/>
      </c>
    </row>
    <row r="164" spans="1:6" x14ac:dyDescent="0.25">
      <c r="A164" s="22"/>
      <c r="F164" s="26" t="str">
        <f t="shared" si="4"/>
        <v/>
      </c>
    </row>
    <row r="165" spans="1:6" x14ac:dyDescent="0.25">
      <c r="A165" s="22"/>
      <c r="F165" s="26" t="str">
        <f t="shared" si="4"/>
        <v/>
      </c>
    </row>
    <row r="166" spans="1:6" x14ac:dyDescent="0.25">
      <c r="A166" s="22"/>
      <c r="F166" s="26" t="str">
        <f t="shared" si="4"/>
        <v/>
      </c>
    </row>
    <row r="167" spans="1:6" x14ac:dyDescent="0.25">
      <c r="A167" s="22"/>
      <c r="F167" s="26" t="str">
        <f t="shared" si="4"/>
        <v/>
      </c>
    </row>
    <row r="168" spans="1:6" x14ac:dyDescent="0.25">
      <c r="A168" s="22"/>
      <c r="F168" s="26" t="str">
        <f t="shared" si="4"/>
        <v/>
      </c>
    </row>
    <row r="169" spans="1:6" x14ac:dyDescent="0.25">
      <c r="A169" s="22"/>
      <c r="F169" s="26" t="str">
        <f t="shared" si="4"/>
        <v/>
      </c>
    </row>
    <row r="170" spans="1:6" x14ac:dyDescent="0.25">
      <c r="A170" s="22"/>
      <c r="F170" s="26" t="str">
        <f t="shared" si="4"/>
        <v/>
      </c>
    </row>
    <row r="171" spans="1:6" x14ac:dyDescent="0.25">
      <c r="A171" s="22"/>
      <c r="F171" s="26" t="str">
        <f t="shared" si="4"/>
        <v/>
      </c>
    </row>
    <row r="172" spans="1:6" x14ac:dyDescent="0.25">
      <c r="A172" s="22"/>
      <c r="F172" s="26" t="str">
        <f t="shared" ref="F172:F203" si="5">IF(OR(ISBLANK(D172), ISBLANK(E172)), "", (E172-D172)/7)</f>
        <v/>
      </c>
    </row>
    <row r="173" spans="1:6" x14ac:dyDescent="0.25">
      <c r="A173" s="22"/>
      <c r="F173" s="26" t="str">
        <f t="shared" si="5"/>
        <v/>
      </c>
    </row>
    <row r="174" spans="1:6" x14ac:dyDescent="0.25">
      <c r="A174" s="22"/>
      <c r="F174" s="26" t="str">
        <f t="shared" si="5"/>
        <v/>
      </c>
    </row>
    <row r="175" spans="1:6" x14ac:dyDescent="0.25">
      <c r="A175" s="22"/>
      <c r="F175" s="26" t="str">
        <f t="shared" si="5"/>
        <v/>
      </c>
    </row>
    <row r="176" spans="1:6" x14ac:dyDescent="0.25">
      <c r="A176" s="22"/>
      <c r="F176" s="26" t="str">
        <f t="shared" si="5"/>
        <v/>
      </c>
    </row>
    <row r="177" spans="1:6" x14ac:dyDescent="0.25">
      <c r="A177" s="22"/>
      <c r="F177" s="26" t="str">
        <f t="shared" si="5"/>
        <v/>
      </c>
    </row>
    <row r="178" spans="1:6" x14ac:dyDescent="0.25">
      <c r="A178" s="22"/>
      <c r="F178" s="26" t="str">
        <f t="shared" si="5"/>
        <v/>
      </c>
    </row>
    <row r="179" spans="1:6" x14ac:dyDescent="0.25">
      <c r="A179" s="22"/>
      <c r="F179" s="26" t="str">
        <f t="shared" si="5"/>
        <v/>
      </c>
    </row>
    <row r="180" spans="1:6" x14ac:dyDescent="0.25">
      <c r="A180" s="22"/>
      <c r="F180" s="26" t="str">
        <f t="shared" si="5"/>
        <v/>
      </c>
    </row>
    <row r="181" spans="1:6" x14ac:dyDescent="0.25">
      <c r="A181" s="22"/>
      <c r="F181" s="26" t="str">
        <f t="shared" si="5"/>
        <v/>
      </c>
    </row>
    <row r="182" spans="1:6" x14ac:dyDescent="0.25">
      <c r="A182" s="22"/>
      <c r="F182" s="26" t="str">
        <f t="shared" si="5"/>
        <v/>
      </c>
    </row>
    <row r="183" spans="1:6" x14ac:dyDescent="0.25">
      <c r="A183" s="22"/>
      <c r="F183" s="26" t="str">
        <f t="shared" si="5"/>
        <v/>
      </c>
    </row>
    <row r="184" spans="1:6" x14ac:dyDescent="0.25">
      <c r="A184" s="22"/>
      <c r="F184" s="26" t="str">
        <f t="shared" si="5"/>
        <v/>
      </c>
    </row>
    <row r="185" spans="1:6" x14ac:dyDescent="0.25">
      <c r="A185" s="22"/>
      <c r="F185" s="26" t="str">
        <f t="shared" si="5"/>
        <v/>
      </c>
    </row>
    <row r="186" spans="1:6" x14ac:dyDescent="0.25">
      <c r="A186" s="22"/>
      <c r="F186" s="26" t="str">
        <f t="shared" si="5"/>
        <v/>
      </c>
    </row>
    <row r="187" spans="1:6" x14ac:dyDescent="0.25">
      <c r="A187" s="22"/>
      <c r="F187" s="26" t="str">
        <f t="shared" si="5"/>
        <v/>
      </c>
    </row>
    <row r="188" spans="1:6" x14ac:dyDescent="0.25">
      <c r="A188" s="22"/>
      <c r="F188" s="26" t="str">
        <f t="shared" si="5"/>
        <v/>
      </c>
    </row>
    <row r="189" spans="1:6" x14ac:dyDescent="0.25">
      <c r="A189" s="22"/>
      <c r="F189" s="26" t="str">
        <f t="shared" si="5"/>
        <v/>
      </c>
    </row>
    <row r="190" spans="1:6" x14ac:dyDescent="0.25">
      <c r="A190" s="22"/>
      <c r="F190" s="26" t="str">
        <f t="shared" si="5"/>
        <v/>
      </c>
    </row>
    <row r="191" spans="1:6" x14ac:dyDescent="0.25">
      <c r="A191" s="22"/>
      <c r="F191" s="26" t="str">
        <f t="shared" si="5"/>
        <v/>
      </c>
    </row>
    <row r="192" spans="1:6" x14ac:dyDescent="0.25">
      <c r="A192" s="22"/>
      <c r="F192" s="26" t="str">
        <f t="shared" si="5"/>
        <v/>
      </c>
    </row>
    <row r="193" spans="1:6" x14ac:dyDescent="0.25">
      <c r="A193" s="22"/>
      <c r="F193" s="26" t="str">
        <f t="shared" si="5"/>
        <v/>
      </c>
    </row>
    <row r="194" spans="1:6" x14ac:dyDescent="0.25">
      <c r="A194" s="22"/>
      <c r="F194" s="26" t="str">
        <f t="shared" si="5"/>
        <v/>
      </c>
    </row>
    <row r="195" spans="1:6" x14ac:dyDescent="0.25">
      <c r="A195" s="22"/>
      <c r="F195" s="26" t="str">
        <f t="shared" si="5"/>
        <v/>
      </c>
    </row>
    <row r="196" spans="1:6" x14ac:dyDescent="0.25">
      <c r="A196" s="22"/>
      <c r="F196" s="26" t="str">
        <f t="shared" si="5"/>
        <v/>
      </c>
    </row>
    <row r="197" spans="1:6" x14ac:dyDescent="0.25">
      <c r="A197" s="22"/>
      <c r="F197" s="26" t="str">
        <f t="shared" si="5"/>
        <v/>
      </c>
    </row>
    <row r="198" spans="1:6" x14ac:dyDescent="0.25">
      <c r="A198" s="22"/>
      <c r="F198" s="26" t="str">
        <f t="shared" si="5"/>
        <v/>
      </c>
    </row>
    <row r="199" spans="1:6" x14ac:dyDescent="0.25">
      <c r="A199" s="22"/>
      <c r="F199" s="26" t="str">
        <f t="shared" si="5"/>
        <v/>
      </c>
    </row>
    <row r="200" spans="1:6" x14ac:dyDescent="0.25">
      <c r="A200" s="22"/>
      <c r="F200" s="26" t="str">
        <f t="shared" si="5"/>
        <v/>
      </c>
    </row>
    <row r="201" spans="1:6" x14ac:dyDescent="0.25">
      <c r="A201" s="22"/>
      <c r="F201" s="26" t="str">
        <f t="shared" si="5"/>
        <v/>
      </c>
    </row>
    <row r="202" spans="1:6" x14ac:dyDescent="0.25">
      <c r="A202" s="22"/>
      <c r="F202" s="26" t="str">
        <f t="shared" si="5"/>
        <v/>
      </c>
    </row>
    <row r="203" spans="1:6" x14ac:dyDescent="0.25">
      <c r="A203" s="22"/>
      <c r="F203" s="26" t="str">
        <f t="shared" si="5"/>
        <v/>
      </c>
    </row>
    <row r="204" spans="1:6" x14ac:dyDescent="0.25">
      <c r="A204" s="22"/>
      <c r="F204" s="26" t="str">
        <f t="shared" ref="F204:F211" si="6">IF(OR(ISBLANK(D204), ISBLANK(E204)), "", (E204-D204)/7)</f>
        <v/>
      </c>
    </row>
    <row r="205" spans="1:6" x14ac:dyDescent="0.25">
      <c r="A205" s="22"/>
      <c r="F205" s="26" t="str">
        <f t="shared" si="6"/>
        <v/>
      </c>
    </row>
    <row r="206" spans="1:6" x14ac:dyDescent="0.25">
      <c r="A206" s="22"/>
      <c r="F206" s="26" t="str">
        <f t="shared" si="6"/>
        <v/>
      </c>
    </row>
    <row r="207" spans="1:6" x14ac:dyDescent="0.25">
      <c r="A207" s="22"/>
      <c r="F207" s="26" t="str">
        <f t="shared" si="6"/>
        <v/>
      </c>
    </row>
    <row r="208" spans="1:6" x14ac:dyDescent="0.25">
      <c r="A208" s="22"/>
      <c r="F208" s="26" t="str">
        <f t="shared" si="6"/>
        <v/>
      </c>
    </row>
    <row r="209" spans="1:6" x14ac:dyDescent="0.25">
      <c r="A209" s="22"/>
      <c r="F209" s="26" t="str">
        <f t="shared" si="6"/>
        <v/>
      </c>
    </row>
    <row r="210" spans="1:6" x14ac:dyDescent="0.25">
      <c r="A210" s="22"/>
      <c r="F210" s="26" t="str">
        <f t="shared" si="6"/>
        <v/>
      </c>
    </row>
    <row r="211" spans="1:6" x14ac:dyDescent="0.25">
      <c r="A211" s="22"/>
      <c r="F211" s="26" t="str">
        <f t="shared" si="6"/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11"/>
  <sheetViews>
    <sheetView workbookViewId="0"/>
  </sheetViews>
  <sheetFormatPr defaultColWidth="8.85546875" defaultRowHeight="15" x14ac:dyDescent="0.25"/>
  <cols>
    <col min="1" max="1" width="50" customWidth="1"/>
    <col min="2" max="2" width="19" customWidth="1"/>
    <col min="3" max="6" width="50" customWidth="1"/>
  </cols>
  <sheetData>
    <row r="1" spans="1:6" ht="18.75" x14ac:dyDescent="0.3">
      <c r="A1" s="11" t="s">
        <v>317</v>
      </c>
    </row>
    <row r="2" spans="1:6" x14ac:dyDescent="0.25">
      <c r="A2" s="12" t="s">
        <v>318</v>
      </c>
    </row>
    <row r="4" spans="1:6" x14ac:dyDescent="0.25">
      <c r="A4" s="13" t="s">
        <v>46</v>
      </c>
      <c r="B4" s="14">
        <f>COUNTA(A12:A200)</f>
        <v>0</v>
      </c>
      <c r="C4" s="15" t="s">
        <v>85</v>
      </c>
    </row>
    <row r="5" spans="1:6" x14ac:dyDescent="0.25">
      <c r="A5" s="13" t="s">
        <v>48</v>
      </c>
      <c r="B5" s="16">
        <v>0</v>
      </c>
      <c r="C5" s="15" t="s">
        <v>49</v>
      </c>
    </row>
    <row r="7" spans="1:6" x14ac:dyDescent="0.25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</row>
    <row r="8" spans="1:6" ht="39.950000000000003" customHeight="1" x14ac:dyDescent="0.25">
      <c r="A8" s="17" t="s">
        <v>319</v>
      </c>
      <c r="B8" s="17" t="s">
        <v>320</v>
      </c>
      <c r="C8" s="17" t="s">
        <v>321</v>
      </c>
      <c r="D8" s="17" t="s">
        <v>42</v>
      </c>
      <c r="E8" s="17" t="s">
        <v>322</v>
      </c>
      <c r="F8" s="17" t="s">
        <v>323</v>
      </c>
    </row>
    <row r="10" spans="1:6" x14ac:dyDescent="0.25">
      <c r="A10" s="19" t="s">
        <v>63</v>
      </c>
    </row>
    <row r="11" spans="1:6" x14ac:dyDescent="0.25">
      <c r="A11" s="4" t="s">
        <v>324</v>
      </c>
      <c r="B11" s="4" t="s">
        <v>325</v>
      </c>
      <c r="C11" s="4" t="s">
        <v>326</v>
      </c>
      <c r="D11" s="4" t="s">
        <v>327</v>
      </c>
      <c r="E11" s="4" t="s">
        <v>69</v>
      </c>
    </row>
    <row r="12" spans="1:6" x14ac:dyDescent="0.25">
      <c r="A12" s="22"/>
    </row>
    <row r="13" spans="1:6" x14ac:dyDescent="0.25">
      <c r="A13" s="22"/>
    </row>
    <row r="14" spans="1:6" x14ac:dyDescent="0.25">
      <c r="A14" s="22"/>
    </row>
    <row r="15" spans="1:6" x14ac:dyDescent="0.25">
      <c r="A15" s="22"/>
    </row>
    <row r="16" spans="1:6" x14ac:dyDescent="0.25">
      <c r="A16" s="22"/>
    </row>
    <row r="17" spans="1:1" x14ac:dyDescent="0.25">
      <c r="A17" s="22"/>
    </row>
    <row r="18" spans="1:1" x14ac:dyDescent="0.25">
      <c r="A18" s="22"/>
    </row>
    <row r="19" spans="1:1" x14ac:dyDescent="0.25">
      <c r="A19" s="22"/>
    </row>
    <row r="20" spans="1:1" x14ac:dyDescent="0.25">
      <c r="A20" s="22"/>
    </row>
    <row r="21" spans="1:1" x14ac:dyDescent="0.25">
      <c r="A21" s="22"/>
    </row>
    <row r="22" spans="1:1" x14ac:dyDescent="0.25">
      <c r="A22" s="22"/>
    </row>
    <row r="23" spans="1:1" x14ac:dyDescent="0.25">
      <c r="A23" s="22"/>
    </row>
    <row r="24" spans="1:1" x14ac:dyDescent="0.25">
      <c r="A24" s="22"/>
    </row>
    <row r="25" spans="1:1" x14ac:dyDescent="0.25">
      <c r="A25" s="22"/>
    </row>
    <row r="26" spans="1:1" x14ac:dyDescent="0.25">
      <c r="A26" s="22"/>
    </row>
    <row r="27" spans="1:1" x14ac:dyDescent="0.25">
      <c r="A27" s="22"/>
    </row>
    <row r="28" spans="1:1" x14ac:dyDescent="0.25">
      <c r="A28" s="22"/>
    </row>
    <row r="29" spans="1:1" x14ac:dyDescent="0.25">
      <c r="A29" s="22"/>
    </row>
    <row r="30" spans="1:1" x14ac:dyDescent="0.25">
      <c r="A30" s="22"/>
    </row>
    <row r="31" spans="1:1" x14ac:dyDescent="0.25">
      <c r="A31" s="22"/>
    </row>
    <row r="32" spans="1:1" x14ac:dyDescent="0.25">
      <c r="A32" s="22"/>
    </row>
    <row r="33" spans="1:1" x14ac:dyDescent="0.25">
      <c r="A33" s="22"/>
    </row>
    <row r="34" spans="1:1" x14ac:dyDescent="0.25">
      <c r="A34" s="22"/>
    </row>
    <row r="35" spans="1:1" x14ac:dyDescent="0.25">
      <c r="A35" s="22"/>
    </row>
    <row r="36" spans="1:1" x14ac:dyDescent="0.25">
      <c r="A36" s="22"/>
    </row>
    <row r="37" spans="1:1" x14ac:dyDescent="0.25">
      <c r="A37" s="22"/>
    </row>
    <row r="38" spans="1:1" x14ac:dyDescent="0.25">
      <c r="A38" s="22"/>
    </row>
    <row r="39" spans="1:1" x14ac:dyDescent="0.25">
      <c r="A39" s="22"/>
    </row>
    <row r="40" spans="1:1" x14ac:dyDescent="0.25">
      <c r="A40" s="22"/>
    </row>
    <row r="41" spans="1:1" x14ac:dyDescent="0.25">
      <c r="A41" s="22"/>
    </row>
    <row r="42" spans="1:1" x14ac:dyDescent="0.25">
      <c r="A42" s="22"/>
    </row>
    <row r="43" spans="1:1" x14ac:dyDescent="0.25">
      <c r="A43" s="22"/>
    </row>
    <row r="44" spans="1:1" x14ac:dyDescent="0.25">
      <c r="A44" s="22"/>
    </row>
    <row r="45" spans="1:1" x14ac:dyDescent="0.25">
      <c r="A45" s="22"/>
    </row>
    <row r="46" spans="1:1" x14ac:dyDescent="0.25">
      <c r="A46" s="22"/>
    </row>
    <row r="47" spans="1:1" x14ac:dyDescent="0.25">
      <c r="A47" s="22"/>
    </row>
    <row r="48" spans="1:1" x14ac:dyDescent="0.25">
      <c r="A48" s="22"/>
    </row>
    <row r="49" spans="1:1" x14ac:dyDescent="0.25">
      <c r="A49" s="22"/>
    </row>
    <row r="50" spans="1:1" x14ac:dyDescent="0.25">
      <c r="A50" s="22"/>
    </row>
    <row r="51" spans="1:1" x14ac:dyDescent="0.25">
      <c r="A51" s="22"/>
    </row>
    <row r="52" spans="1:1" x14ac:dyDescent="0.25">
      <c r="A52" s="22"/>
    </row>
    <row r="53" spans="1:1" x14ac:dyDescent="0.25">
      <c r="A53" s="22"/>
    </row>
    <row r="54" spans="1:1" x14ac:dyDescent="0.25">
      <c r="A54" s="22"/>
    </row>
    <row r="55" spans="1:1" x14ac:dyDescent="0.25">
      <c r="A55" s="22"/>
    </row>
    <row r="56" spans="1:1" x14ac:dyDescent="0.25">
      <c r="A56" s="22"/>
    </row>
    <row r="57" spans="1:1" x14ac:dyDescent="0.25">
      <c r="A57" s="22"/>
    </row>
    <row r="58" spans="1:1" x14ac:dyDescent="0.25">
      <c r="A58" s="22"/>
    </row>
    <row r="59" spans="1:1" x14ac:dyDescent="0.25">
      <c r="A59" s="22"/>
    </row>
    <row r="60" spans="1:1" x14ac:dyDescent="0.25">
      <c r="A60" s="22"/>
    </row>
    <row r="61" spans="1:1" x14ac:dyDescent="0.25">
      <c r="A61" s="22"/>
    </row>
    <row r="62" spans="1:1" x14ac:dyDescent="0.25">
      <c r="A62" s="22"/>
    </row>
    <row r="63" spans="1:1" x14ac:dyDescent="0.25">
      <c r="A63" s="22"/>
    </row>
    <row r="64" spans="1:1" x14ac:dyDescent="0.25">
      <c r="A64" s="22"/>
    </row>
    <row r="65" spans="1:1" x14ac:dyDescent="0.25">
      <c r="A65" s="22"/>
    </row>
    <row r="66" spans="1:1" x14ac:dyDescent="0.25">
      <c r="A66" s="22"/>
    </row>
    <row r="67" spans="1:1" x14ac:dyDescent="0.25">
      <c r="A67" s="22"/>
    </row>
    <row r="68" spans="1:1" x14ac:dyDescent="0.25">
      <c r="A68" s="22"/>
    </row>
    <row r="69" spans="1:1" x14ac:dyDescent="0.25">
      <c r="A69" s="22"/>
    </row>
    <row r="70" spans="1:1" x14ac:dyDescent="0.25">
      <c r="A70" s="22"/>
    </row>
    <row r="71" spans="1:1" x14ac:dyDescent="0.25">
      <c r="A71" s="22"/>
    </row>
    <row r="72" spans="1:1" x14ac:dyDescent="0.25">
      <c r="A72" s="22"/>
    </row>
    <row r="73" spans="1:1" x14ac:dyDescent="0.25">
      <c r="A73" s="22"/>
    </row>
    <row r="74" spans="1:1" x14ac:dyDescent="0.25">
      <c r="A74" s="22"/>
    </row>
    <row r="75" spans="1:1" x14ac:dyDescent="0.25">
      <c r="A75" s="22"/>
    </row>
    <row r="76" spans="1:1" x14ac:dyDescent="0.25">
      <c r="A76" s="22"/>
    </row>
    <row r="77" spans="1:1" x14ac:dyDescent="0.25">
      <c r="A77" s="22"/>
    </row>
    <row r="78" spans="1:1" x14ac:dyDescent="0.25">
      <c r="A78" s="22"/>
    </row>
    <row r="79" spans="1:1" x14ac:dyDescent="0.25">
      <c r="A79" s="22"/>
    </row>
    <row r="80" spans="1:1" x14ac:dyDescent="0.25">
      <c r="A80" s="22"/>
    </row>
    <row r="81" spans="1:1" x14ac:dyDescent="0.25">
      <c r="A81" s="22"/>
    </row>
    <row r="82" spans="1:1" x14ac:dyDescent="0.25">
      <c r="A82" s="22"/>
    </row>
    <row r="83" spans="1:1" x14ac:dyDescent="0.25">
      <c r="A83" s="22"/>
    </row>
    <row r="84" spans="1:1" x14ac:dyDescent="0.25">
      <c r="A84" s="22"/>
    </row>
    <row r="85" spans="1:1" x14ac:dyDescent="0.25">
      <c r="A85" s="22"/>
    </row>
    <row r="86" spans="1:1" x14ac:dyDescent="0.25">
      <c r="A86" s="22"/>
    </row>
    <row r="87" spans="1:1" x14ac:dyDescent="0.25">
      <c r="A87" s="22"/>
    </row>
    <row r="88" spans="1:1" x14ac:dyDescent="0.25">
      <c r="A88" s="22"/>
    </row>
    <row r="89" spans="1:1" x14ac:dyDescent="0.25">
      <c r="A89" s="22"/>
    </row>
    <row r="90" spans="1:1" x14ac:dyDescent="0.25">
      <c r="A90" s="22"/>
    </row>
    <row r="91" spans="1:1" x14ac:dyDescent="0.25">
      <c r="A91" s="22"/>
    </row>
    <row r="92" spans="1:1" x14ac:dyDescent="0.25">
      <c r="A92" s="22"/>
    </row>
    <row r="93" spans="1:1" x14ac:dyDescent="0.25">
      <c r="A93" s="22"/>
    </row>
    <row r="94" spans="1:1" x14ac:dyDescent="0.25">
      <c r="A94" s="22"/>
    </row>
    <row r="95" spans="1:1" x14ac:dyDescent="0.25">
      <c r="A95" s="22"/>
    </row>
    <row r="96" spans="1:1" x14ac:dyDescent="0.25">
      <c r="A96" s="22"/>
    </row>
    <row r="97" spans="1:1" x14ac:dyDescent="0.25">
      <c r="A97" s="22"/>
    </row>
    <row r="98" spans="1:1" x14ac:dyDescent="0.25">
      <c r="A98" s="22"/>
    </row>
    <row r="99" spans="1:1" x14ac:dyDescent="0.25">
      <c r="A99" s="22"/>
    </row>
    <row r="100" spans="1:1" x14ac:dyDescent="0.25">
      <c r="A100" s="22"/>
    </row>
    <row r="101" spans="1:1" x14ac:dyDescent="0.25">
      <c r="A101" s="22"/>
    </row>
    <row r="102" spans="1:1" x14ac:dyDescent="0.25">
      <c r="A102" s="22"/>
    </row>
    <row r="103" spans="1:1" x14ac:dyDescent="0.25">
      <c r="A103" s="22"/>
    </row>
    <row r="104" spans="1:1" x14ac:dyDescent="0.25">
      <c r="A104" s="22"/>
    </row>
    <row r="105" spans="1:1" x14ac:dyDescent="0.25">
      <c r="A105" s="22"/>
    </row>
    <row r="106" spans="1:1" x14ac:dyDescent="0.25">
      <c r="A106" s="22"/>
    </row>
    <row r="107" spans="1:1" x14ac:dyDescent="0.25">
      <c r="A107" s="22"/>
    </row>
    <row r="108" spans="1:1" x14ac:dyDescent="0.25">
      <c r="A108" s="22"/>
    </row>
    <row r="109" spans="1:1" x14ac:dyDescent="0.25">
      <c r="A109" s="22"/>
    </row>
    <row r="110" spans="1:1" x14ac:dyDescent="0.25">
      <c r="A110" s="22"/>
    </row>
    <row r="111" spans="1:1" x14ac:dyDescent="0.25">
      <c r="A111" s="22"/>
    </row>
    <row r="112" spans="1:1" x14ac:dyDescent="0.25">
      <c r="A112" s="22"/>
    </row>
    <row r="113" spans="1:1" x14ac:dyDescent="0.25">
      <c r="A113" s="22"/>
    </row>
    <row r="114" spans="1:1" x14ac:dyDescent="0.25">
      <c r="A114" s="22"/>
    </row>
    <row r="115" spans="1:1" x14ac:dyDescent="0.25">
      <c r="A115" s="22"/>
    </row>
    <row r="116" spans="1:1" x14ac:dyDescent="0.25">
      <c r="A116" s="22"/>
    </row>
    <row r="117" spans="1:1" x14ac:dyDescent="0.25">
      <c r="A117" s="22"/>
    </row>
    <row r="118" spans="1:1" x14ac:dyDescent="0.25">
      <c r="A118" s="22"/>
    </row>
    <row r="119" spans="1:1" x14ac:dyDescent="0.25">
      <c r="A119" s="22"/>
    </row>
    <row r="120" spans="1:1" x14ac:dyDescent="0.25">
      <c r="A120" s="22"/>
    </row>
    <row r="121" spans="1:1" x14ac:dyDescent="0.25">
      <c r="A121" s="22"/>
    </row>
    <row r="122" spans="1:1" x14ac:dyDescent="0.25">
      <c r="A122" s="22"/>
    </row>
    <row r="123" spans="1:1" x14ac:dyDescent="0.25">
      <c r="A123" s="22"/>
    </row>
    <row r="124" spans="1:1" x14ac:dyDescent="0.25">
      <c r="A124" s="22"/>
    </row>
    <row r="125" spans="1:1" x14ac:dyDescent="0.25">
      <c r="A125" s="22"/>
    </row>
    <row r="126" spans="1:1" x14ac:dyDescent="0.25">
      <c r="A126" s="22"/>
    </row>
    <row r="127" spans="1:1" x14ac:dyDescent="0.25">
      <c r="A127" s="22"/>
    </row>
    <row r="128" spans="1:1" x14ac:dyDescent="0.25">
      <c r="A128" s="22"/>
    </row>
    <row r="129" spans="1:1" x14ac:dyDescent="0.25">
      <c r="A129" s="22"/>
    </row>
    <row r="130" spans="1:1" x14ac:dyDescent="0.25">
      <c r="A130" s="22"/>
    </row>
    <row r="131" spans="1:1" x14ac:dyDescent="0.25">
      <c r="A131" s="22"/>
    </row>
    <row r="132" spans="1:1" x14ac:dyDescent="0.25">
      <c r="A132" s="22"/>
    </row>
    <row r="133" spans="1:1" x14ac:dyDescent="0.25">
      <c r="A133" s="22"/>
    </row>
    <row r="134" spans="1:1" x14ac:dyDescent="0.25">
      <c r="A134" s="22"/>
    </row>
    <row r="135" spans="1:1" x14ac:dyDescent="0.25">
      <c r="A135" s="22"/>
    </row>
    <row r="136" spans="1:1" x14ac:dyDescent="0.25">
      <c r="A136" s="22"/>
    </row>
    <row r="137" spans="1:1" x14ac:dyDescent="0.25">
      <c r="A137" s="22"/>
    </row>
    <row r="138" spans="1:1" x14ac:dyDescent="0.25">
      <c r="A138" s="22"/>
    </row>
    <row r="139" spans="1:1" x14ac:dyDescent="0.25">
      <c r="A139" s="22"/>
    </row>
    <row r="140" spans="1:1" x14ac:dyDescent="0.25">
      <c r="A140" s="22"/>
    </row>
    <row r="141" spans="1:1" x14ac:dyDescent="0.25">
      <c r="A141" s="22"/>
    </row>
    <row r="142" spans="1:1" x14ac:dyDescent="0.25">
      <c r="A142" s="22"/>
    </row>
    <row r="143" spans="1:1" x14ac:dyDescent="0.25">
      <c r="A143" s="22"/>
    </row>
    <row r="144" spans="1:1" x14ac:dyDescent="0.25">
      <c r="A144" s="22"/>
    </row>
    <row r="145" spans="1:1" x14ac:dyDescent="0.25">
      <c r="A145" s="22"/>
    </row>
    <row r="146" spans="1:1" x14ac:dyDescent="0.25">
      <c r="A146" s="22"/>
    </row>
    <row r="147" spans="1:1" x14ac:dyDescent="0.25">
      <c r="A147" s="22"/>
    </row>
    <row r="148" spans="1:1" x14ac:dyDescent="0.25">
      <c r="A148" s="22"/>
    </row>
    <row r="149" spans="1:1" x14ac:dyDescent="0.25">
      <c r="A149" s="22"/>
    </row>
    <row r="150" spans="1:1" x14ac:dyDescent="0.25">
      <c r="A150" s="22"/>
    </row>
    <row r="151" spans="1:1" x14ac:dyDescent="0.25">
      <c r="A151" s="22"/>
    </row>
    <row r="152" spans="1:1" x14ac:dyDescent="0.25">
      <c r="A152" s="22"/>
    </row>
    <row r="153" spans="1:1" x14ac:dyDescent="0.25">
      <c r="A153" s="22"/>
    </row>
    <row r="154" spans="1:1" x14ac:dyDescent="0.25">
      <c r="A154" s="22"/>
    </row>
    <row r="155" spans="1:1" x14ac:dyDescent="0.25">
      <c r="A155" s="22"/>
    </row>
    <row r="156" spans="1:1" x14ac:dyDescent="0.25">
      <c r="A156" s="22"/>
    </row>
    <row r="157" spans="1:1" x14ac:dyDescent="0.25">
      <c r="A157" s="22"/>
    </row>
    <row r="158" spans="1:1" x14ac:dyDescent="0.25">
      <c r="A158" s="22"/>
    </row>
    <row r="159" spans="1:1" x14ac:dyDescent="0.25">
      <c r="A159" s="22"/>
    </row>
    <row r="160" spans="1:1" x14ac:dyDescent="0.25">
      <c r="A160" s="22"/>
    </row>
    <row r="161" spans="1:1" x14ac:dyDescent="0.25">
      <c r="A161" s="22"/>
    </row>
    <row r="162" spans="1:1" x14ac:dyDescent="0.25">
      <c r="A162" s="22"/>
    </row>
    <row r="163" spans="1:1" x14ac:dyDescent="0.25">
      <c r="A163" s="22"/>
    </row>
    <row r="164" spans="1:1" x14ac:dyDescent="0.25">
      <c r="A164" s="22"/>
    </row>
    <row r="165" spans="1:1" x14ac:dyDescent="0.25">
      <c r="A165" s="22"/>
    </row>
    <row r="166" spans="1:1" x14ac:dyDescent="0.25">
      <c r="A166" s="22"/>
    </row>
    <row r="167" spans="1:1" x14ac:dyDescent="0.25">
      <c r="A167" s="22"/>
    </row>
    <row r="168" spans="1:1" x14ac:dyDescent="0.25">
      <c r="A168" s="22"/>
    </row>
    <row r="169" spans="1:1" x14ac:dyDescent="0.25">
      <c r="A169" s="22"/>
    </row>
    <row r="170" spans="1:1" x14ac:dyDescent="0.25">
      <c r="A170" s="22"/>
    </row>
    <row r="171" spans="1:1" x14ac:dyDescent="0.25">
      <c r="A171" s="22"/>
    </row>
    <row r="172" spans="1:1" x14ac:dyDescent="0.25">
      <c r="A172" s="22"/>
    </row>
    <row r="173" spans="1:1" x14ac:dyDescent="0.25">
      <c r="A173" s="22"/>
    </row>
    <row r="174" spans="1:1" x14ac:dyDescent="0.25">
      <c r="A174" s="22"/>
    </row>
    <row r="175" spans="1:1" x14ac:dyDescent="0.25">
      <c r="A175" s="22"/>
    </row>
    <row r="176" spans="1:1" x14ac:dyDescent="0.25">
      <c r="A176" s="22"/>
    </row>
    <row r="177" spans="1:1" x14ac:dyDescent="0.25">
      <c r="A177" s="22"/>
    </row>
    <row r="178" spans="1:1" x14ac:dyDescent="0.25">
      <c r="A178" s="22"/>
    </row>
    <row r="179" spans="1:1" x14ac:dyDescent="0.25">
      <c r="A179" s="22"/>
    </row>
    <row r="180" spans="1:1" x14ac:dyDescent="0.25">
      <c r="A180" s="22"/>
    </row>
    <row r="181" spans="1:1" x14ac:dyDescent="0.25">
      <c r="A181" s="22"/>
    </row>
    <row r="182" spans="1:1" x14ac:dyDescent="0.25">
      <c r="A182" s="22"/>
    </row>
    <row r="183" spans="1:1" x14ac:dyDescent="0.25">
      <c r="A183" s="22"/>
    </row>
    <row r="184" spans="1:1" x14ac:dyDescent="0.25">
      <c r="A184" s="22"/>
    </row>
    <row r="185" spans="1:1" x14ac:dyDescent="0.25">
      <c r="A185" s="22"/>
    </row>
    <row r="186" spans="1:1" x14ac:dyDescent="0.25">
      <c r="A186" s="22"/>
    </row>
    <row r="187" spans="1:1" x14ac:dyDescent="0.25">
      <c r="A187" s="22"/>
    </row>
    <row r="188" spans="1:1" x14ac:dyDescent="0.25">
      <c r="A188" s="22"/>
    </row>
    <row r="189" spans="1:1" x14ac:dyDescent="0.25">
      <c r="A189" s="22"/>
    </row>
    <row r="190" spans="1:1" x14ac:dyDescent="0.25">
      <c r="A190" s="22"/>
    </row>
    <row r="191" spans="1:1" x14ac:dyDescent="0.25">
      <c r="A191" s="22"/>
    </row>
    <row r="192" spans="1:1" x14ac:dyDescent="0.25">
      <c r="A192" s="22"/>
    </row>
    <row r="193" spans="1:1" x14ac:dyDescent="0.25">
      <c r="A193" s="22"/>
    </row>
    <row r="194" spans="1:1" x14ac:dyDescent="0.25">
      <c r="A194" s="22"/>
    </row>
    <row r="195" spans="1:1" x14ac:dyDescent="0.25">
      <c r="A195" s="22"/>
    </row>
    <row r="196" spans="1:1" x14ac:dyDescent="0.25">
      <c r="A196" s="22"/>
    </row>
    <row r="197" spans="1:1" x14ac:dyDescent="0.25">
      <c r="A197" s="22"/>
    </row>
    <row r="198" spans="1:1" x14ac:dyDescent="0.25">
      <c r="A198" s="22"/>
    </row>
    <row r="199" spans="1:1" x14ac:dyDescent="0.25">
      <c r="A199" s="22"/>
    </row>
    <row r="200" spans="1:1" x14ac:dyDescent="0.25">
      <c r="A200" s="22"/>
    </row>
    <row r="201" spans="1:1" x14ac:dyDescent="0.25">
      <c r="A201" s="22"/>
    </row>
    <row r="202" spans="1:1" x14ac:dyDescent="0.25">
      <c r="A202" s="22"/>
    </row>
    <row r="203" spans="1:1" x14ac:dyDescent="0.25">
      <c r="A203" s="22"/>
    </row>
    <row r="204" spans="1:1" x14ac:dyDescent="0.25">
      <c r="A204" s="22"/>
    </row>
    <row r="205" spans="1:1" x14ac:dyDescent="0.25">
      <c r="A205" s="22"/>
    </row>
    <row r="206" spans="1:1" x14ac:dyDescent="0.25">
      <c r="A206" s="22"/>
    </row>
    <row r="207" spans="1:1" x14ac:dyDescent="0.25">
      <c r="A207" s="22"/>
    </row>
    <row r="208" spans="1:1" x14ac:dyDescent="0.25">
      <c r="A208" s="22"/>
    </row>
    <row r="209" spans="1:1" x14ac:dyDescent="0.25">
      <c r="A209" s="22"/>
    </row>
    <row r="210" spans="1:1" x14ac:dyDescent="0.25">
      <c r="A210" s="22"/>
    </row>
    <row r="211" spans="1:1" x14ac:dyDescent="0.25">
      <c r="A211" s="22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485b963-82ba-4a6f-810f-b5cc226ff898}" enabled="0" method="" siteId="{3485b963-82ba-4a6f-810f-b5cc226ff8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Dashboard</vt:lpstr>
      <vt:lpstr>KPI_1_PI Unit Center</vt:lpstr>
      <vt:lpstr>KPI_2_Pendataan APC</vt:lpstr>
      <vt:lpstr>KPI_3_Enhancing OJS</vt:lpstr>
      <vt:lpstr>KPI_4_Graphic Abstrac</vt:lpstr>
      <vt:lpstr>KPI_5_Writing Competi</vt:lpstr>
      <vt:lpstr>KPI_6_Student Comment</vt:lpstr>
      <vt:lpstr>KPI_7_ICOBAR</vt:lpstr>
      <vt:lpstr>KPI_8_Editing article</vt:lpstr>
      <vt:lpstr>KPI_9_Review Format</vt:lpstr>
      <vt:lpstr>KPI_10_Waktu review</vt:lpstr>
      <vt:lpstr>KPI_11_Tugas Khusus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Iqbal Fathi Izzudin</cp:lastModifiedBy>
  <dcterms:created xsi:type="dcterms:W3CDTF">2026-08-17T05:47:53Z</dcterms:created>
  <dcterms:modified xsi:type="dcterms:W3CDTF">2026-09-11T09:53:15Z</dcterms:modified>
</cp:coreProperties>
</file>